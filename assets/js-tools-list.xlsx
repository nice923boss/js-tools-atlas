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lare\Downloads\UP\"/>
    </mc:Choice>
  </mc:AlternateContent>
  <xr:revisionPtr revIDLastSave="0" documentId="13_ncr:1_{7D29C3B0-62BA-4165-8F55-C46F9CB1A99B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JS工具總表" sheetId="1" r:id="rId1"/>
    <sheet name="分類統計" sheetId="2" r:id="rId2"/>
    <sheet name="範例靈感平台" sheetId="3" r:id="rId3"/>
    <sheet name="組合配方" sheetId="4" r:id="rId4"/>
    <sheet name="說明" sheetId="5" r:id="rId5"/>
  </sheets>
  <definedNames>
    <definedName name="_xlnm._FilterDatabase" localSheetId="0" hidden="1">JS工具總表!$A$1:$P$329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2" l="1"/>
  <c r="D28" i="2"/>
  <c r="C28" i="2"/>
  <c r="B28" i="2"/>
  <c r="E28" i="2" s="1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E18" i="2" s="1"/>
  <c r="D17" i="2"/>
  <c r="C17" i="2"/>
  <c r="B17" i="2"/>
  <c r="D16" i="2"/>
  <c r="C16" i="2"/>
  <c r="B16" i="2"/>
  <c r="E16" i="2" s="1"/>
  <c r="D15" i="2"/>
  <c r="C15" i="2"/>
  <c r="B15" i="2"/>
  <c r="D14" i="2"/>
  <c r="C14" i="2"/>
  <c r="B14" i="2"/>
  <c r="E14" i="2" s="1"/>
  <c r="D13" i="2"/>
  <c r="C13" i="2"/>
  <c r="B13" i="2"/>
  <c r="D12" i="2"/>
  <c r="C12" i="2"/>
  <c r="B12" i="2"/>
  <c r="E12" i="2" s="1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E6" i="2" l="1"/>
  <c r="D29" i="2"/>
  <c r="E8" i="2"/>
  <c r="E24" i="2"/>
  <c r="E19" i="2"/>
  <c r="E3" i="2"/>
  <c r="E9" i="2"/>
  <c r="E25" i="2"/>
  <c r="E4" i="2"/>
  <c r="E20" i="2"/>
  <c r="E15" i="2"/>
  <c r="E10" i="2"/>
  <c r="E26" i="2"/>
  <c r="E21" i="2"/>
  <c r="E11" i="2"/>
  <c r="E27" i="2"/>
  <c r="E22" i="2"/>
  <c r="E17" i="2"/>
  <c r="E7" i="2"/>
  <c r="E23" i="2"/>
  <c r="E5" i="2"/>
  <c r="B29" i="2"/>
  <c r="E29" i="2" s="1"/>
  <c r="C29" i="2"/>
  <c r="E13" i="2"/>
  <c r="E2" i="2"/>
</calcChain>
</file>

<file path=xl/sharedStrings.xml><?xml version="1.0" encoding="utf-8"?>
<sst xmlns="http://schemas.openxmlformats.org/spreadsheetml/2006/main" count="4550" uniqueCount="2254">
  <si>
    <t>編號</t>
  </si>
  <si>
    <t>大類</t>
  </si>
  <si>
    <t>工具名稱</t>
  </si>
  <si>
    <t>功能說明</t>
  </si>
  <si>
    <t>可做出的效果／典型應用</t>
  </si>
  <si>
    <t>難度</t>
  </si>
  <si>
    <t>Claude 單檔友善度</t>
  </si>
  <si>
    <t>搭配框架</t>
  </si>
  <si>
    <t>授權</t>
  </si>
  <si>
    <t>GitHub 星數</t>
  </si>
  <si>
    <t>最後更新</t>
  </si>
  <si>
    <t>官網</t>
  </si>
  <si>
    <t>範例／Demo</t>
  </si>
  <si>
    <t>GitHub／原始碼</t>
  </si>
  <si>
    <t>網址檢查</t>
  </si>
  <si>
    <t>備註</t>
  </si>
  <si>
    <t>01 2D 繪圖與創意程式</t>
  </si>
  <si>
    <t>p5.js</t>
  </si>
  <si>
    <t>Processing 的 JavaScript 版，用 setup()／draw() 迴圈逐格繪圖</t>
  </si>
  <si>
    <t>生成藝術、互動動畫、故事動畫、教學範例</t>
  </si>
  <si>
    <t>入門</t>
  </si>
  <si>
    <t>★★★</t>
  </si>
  <si>
    <t>原生 JS</t>
  </si>
  <si>
    <t>2026-09-30</t>
  </si>
  <si>
    <t>https://p5js.org</t>
  </si>
  <si>
    <t>https://p5js.org/examples/</t>
  </si>
  <si>
    <t>https://github.com/processing/p5.js</t>
  </si>
  <si>
    <t>正常</t>
  </si>
  <si>
    <t>q5.js</t>
  </si>
  <si>
    <t>相容 p5.js 語法的輕量高速版，支援 WebGPU 渲染</t>
  </si>
  <si>
    <t>需要更高效能的 p5 作品、大量圖形</t>
  </si>
  <si>
    <t>LGPL-3.0</t>
  </si>
  <si>
    <t>2026-09-27</t>
  </si>
  <si>
    <t>https://q5js.org</t>
  </si>
  <si>
    <t>https://q5js.org/learn/</t>
  </si>
  <si>
    <t>https://github.com/q5js/q5.js</t>
  </si>
  <si>
    <t>Paper.js</t>
  </si>
  <si>
    <t>向量圖形腳本框架，擅長貝茲曲線與路徑布林運算</t>
  </si>
  <si>
    <t>向量插畫、路徑變形、互動海報</t>
  </si>
  <si>
    <t>中階</t>
  </si>
  <si>
    <t>MIT</t>
  </si>
  <si>
    <t>2024-07-23</t>
  </si>
  <si>
    <t>http://paperjs.org</t>
  </si>
  <si>
    <t>http://paperjs.org/examples/</t>
  </si>
  <si>
    <t>https://github.com/paperjs/paper.js</t>
  </si>
  <si>
    <t>Two.js</t>
  </si>
  <si>
    <t>同一套 API 輸出 SVG、Canvas、WebGL 的 2D 繪圖</t>
  </si>
  <si>
    <t>扁平風動畫、資訊圖動態</t>
  </si>
  <si>
    <t>2026-09-29</t>
  </si>
  <si>
    <t>https://two.js.org</t>
  </si>
  <si>
    <t>https://two.js.org/examples/</t>
  </si>
  <si>
    <t>https://github.com/jonobr1/two.js</t>
  </si>
  <si>
    <t>Konva.js</t>
  </si>
  <si>
    <t>Canvas 物件化框架，內建拖曳、事件、圖層</t>
  </si>
  <si>
    <t>線上設計器、貼圖編輯、互動白板</t>
  </si>
  <si>
    <t>原生 JS／React／Vue</t>
  </si>
  <si>
    <t>2026-09-23</t>
  </si>
  <si>
    <t>https://konvajs.org</t>
  </si>
  <si>
    <t>https://konvajs.org/docs/sandbox/</t>
  </si>
  <si>
    <t>https://github.com/konvajs/konva</t>
  </si>
  <si>
    <t>Fabric.js</t>
  </si>
  <si>
    <t>Canvas 物件模型，支援選取、縮放、旋轉與 SVG 匯入匯出</t>
  </si>
  <si>
    <t>海報編輯器、T 恤設計、圖片標註</t>
  </si>
  <si>
    <t>https://fabricjs.com</t>
  </si>
  <si>
    <t>https://fabricjs.com/demos/</t>
  </si>
  <si>
    <t>https://github.com/fabricjs/fabric.js</t>
  </si>
  <si>
    <t>PixiJS</t>
  </si>
  <si>
    <t>高效能 WebGL／WebGPU 2D 渲染引擎</t>
  </si>
  <si>
    <t>大量精靈動畫、2D 遊戲、互動廣告</t>
  </si>
  <si>
    <t>https://pixijs.com</t>
  </si>
  <si>
    <t>https://pixijs.com/8.x/examples</t>
  </si>
  <si>
    <t>https://github.com/pixijs/pixijs</t>
  </si>
  <si>
    <t>EaselJS（CreateJS）</t>
  </si>
  <si>
    <t>類 Flash 顯示清單的 Canvas 函式庫</t>
  </si>
  <si>
    <t>Flash 風互動課件、小遊戲</t>
  </si>
  <si>
    <t>2026-01-24</t>
  </si>
  <si>
    <t>https://createjs.com/easeljs</t>
  </si>
  <si>
    <t>https://createjs.com/demos</t>
  </si>
  <si>
    <t>https://github.com/CreateJS/EaselJS</t>
  </si>
  <si>
    <t>Rough.js</t>
  </si>
  <si>
    <t>手繪草圖風格的線條與圖形</t>
  </si>
  <si>
    <t>手繪風圖表、白板風說明圖</t>
  </si>
  <si>
    <t>2024-07-28</t>
  </si>
  <si>
    <t>https://roughjs.com</t>
  </si>
  <si>
    <t>https://github.com/rough-stuff/rough</t>
  </si>
  <si>
    <t>Zdog</t>
  </si>
  <si>
    <t>偽 3D 扁平向量引擎，程式碼極短</t>
  </si>
  <si>
    <t>可愛扁平 3D 角色、旋轉圖示</t>
  </si>
  <si>
    <t>2023-07-18</t>
  </si>
  <si>
    <t>https://zzz.dog</t>
  </si>
  <si>
    <t>https://zzz.dog/getting-started</t>
  </si>
  <si>
    <t>https://github.com/metafizzy/zdog</t>
  </si>
  <si>
    <t>SVG.js</t>
  </si>
  <si>
    <t>輕量 SVG 建立、操作與動畫</t>
  </si>
  <si>
    <t>向量圖示動畫、互動圖解</t>
  </si>
  <si>
    <t>2026-08-04</t>
  </si>
  <si>
    <t>https://svgjs.dev</t>
  </si>
  <si>
    <t>https://svgjs.dev/docs/3.2/</t>
  </si>
  <si>
    <t>https://github.com/svgdotjs/svg.js</t>
  </si>
  <si>
    <t>Snap.svg</t>
  </si>
  <si>
    <t>Adobe 出品的 SVG 操作函式庫</t>
  </si>
  <si>
    <t>SVG 動畫、互動插圖</t>
  </si>
  <si>
    <t>Apache-2.0</t>
  </si>
  <si>
    <t>2026-06-12</t>
  </si>
  <si>
    <t>http://snapsvg.io</t>
  </si>
  <si>
    <t>http://snapsvg.io/demos/</t>
  </si>
  <si>
    <t>https://github.com/adobe-webplatform/Snap.svg</t>
  </si>
  <si>
    <t>canvas-sketch</t>
  </si>
  <si>
    <t>生成藝術工作流框架，可匯出高解析 PNG、GIF、MP4</t>
  </si>
  <si>
    <t>印刷級生成海報、生成藝術作品集</t>
  </si>
  <si>
    <t>★★</t>
  </si>
  <si>
    <t>Node.js CLI</t>
  </si>
  <si>
    <t>2026-06-02</t>
  </si>
  <si>
    <t>https://github.com/mattdesl/canvas-sketch</t>
  </si>
  <si>
    <t>https://github.com/mattdesl/canvas-sketch/tree/master/examples</t>
  </si>
  <si>
    <t>Hydra</t>
  </si>
  <si>
    <t>瀏覽器即時 Live Coding 視覺合成器</t>
  </si>
  <si>
    <t>VJ 視覺、演出即興影像</t>
  </si>
  <si>
    <t>AGPL-3.0</t>
  </si>
  <si>
    <t>2026-04-25</t>
  </si>
  <si>
    <t>https://hydra.ojack.xyz</t>
  </si>
  <si>
    <t>https://hydra.ojack.xyz/functions/</t>
  </si>
  <si>
    <t>https://github.com/hydra-synth/hydra</t>
  </si>
  <si>
    <t>Chroma.js</t>
  </si>
  <si>
    <t>顏色轉換、漸層與色階計算</t>
  </si>
  <si>
    <t>調色盤產生、資料配色</t>
  </si>
  <si>
    <t>(BSD-3-Clause AND Apache-2.0)</t>
  </si>
  <si>
    <t>2026-09-14</t>
  </si>
  <si>
    <t>https://gka.github.io/chroma.js/</t>
  </si>
  <si>
    <t>https://gka.github.io/palettes/</t>
  </si>
  <si>
    <t>https://github.com/gka/chroma.js</t>
  </si>
  <si>
    <t>simplex-noise</t>
  </si>
  <si>
    <t>快速 Simplex 雜訊產生器</t>
  </si>
  <si>
    <t>地形、流場、有機飄動效果</t>
  </si>
  <si>
    <t>2024-07-26</t>
  </si>
  <si>
    <t>https://github.com/jwagner/simplex-noise.js</t>
  </si>
  <si>
    <t>（見 GitHub README）</t>
  </si>
  <si>
    <t>Blobs</t>
  </si>
  <si>
    <t>隨機產生有機 blob 形狀</t>
  </si>
  <si>
    <t>流體裝飾形狀、背景</t>
  </si>
  <si>
    <t>2023-10-01</t>
  </si>
  <si>
    <t>https://blobs.dev</t>
  </si>
  <si>
    <t>https://github.com/g-harel/blobs</t>
  </si>
  <si>
    <t>Flubber</t>
  </si>
  <si>
    <t>SVG 形狀之間平滑變形</t>
  </si>
  <si>
    <t>圖示變形動畫、地圖區塊變形</t>
  </si>
  <si>
    <t>2022-11-08</t>
  </si>
  <si>
    <t>https://github.com/veltman/flubber</t>
  </si>
  <si>
    <t>https://veltman.github.io/flubber/demos/basic-svg.html</t>
  </si>
  <si>
    <t>02 3D 引擎與 WebGL／WebGPU</t>
  </si>
  <si>
    <t>Three.js</t>
  </si>
  <si>
    <t>最主流的 WebGL／WebGPU 3D 函式庫</t>
  </si>
  <si>
    <t>3D 場景、產品展示、互動網站、VR</t>
  </si>
  <si>
    <t>https://threejs.org</t>
  </si>
  <si>
    <t>https://threejs.org/examples/</t>
  </si>
  <si>
    <t>https://github.com/mrdoob/three.js</t>
  </si>
  <si>
    <t>Babylon.js</t>
  </si>
  <si>
    <t>微軟主導的完整 3D 引擎，含物理、GUI、節點材質編輯器</t>
  </si>
  <si>
    <t>3D 遊戲、數位孿生、XR</t>
  </si>
  <si>
    <t>https://www.babylonjs.com</t>
  </si>
  <si>
    <t>https://playground.babylonjs.com</t>
  </si>
  <si>
    <t>https://github.com/BabylonJS/Babylon.js</t>
  </si>
  <si>
    <t>PlayCanvas</t>
  </si>
  <si>
    <t>3D 遊戲引擎，另有雲端協作編輯器</t>
  </si>
  <si>
    <t>3D 網頁遊戲、商品配置器</t>
  </si>
  <si>
    <t>原生 JS／編輯器</t>
  </si>
  <si>
    <t>https://playcanvas.com</t>
  </si>
  <si>
    <t>https://playcanvas.github.io</t>
  </si>
  <si>
    <t>https://github.com/playcanvas/engine</t>
  </si>
  <si>
    <t>A-Frame</t>
  </si>
  <si>
    <t>用 HTML 標籤寫 3D／VR／AR 場景</t>
  </si>
  <si>
    <t>WebVR 導覽、360 展場</t>
  </si>
  <si>
    <t>HTML 標籤</t>
  </si>
  <si>
    <t>2026-07-13</t>
  </si>
  <si>
    <t>https://aframe.io</t>
  </si>
  <si>
    <t>https://aframe.io/examples/</t>
  </si>
  <si>
    <t>https://github.com/aframevr/aframe</t>
  </si>
  <si>
    <t>React Three Fiber</t>
  </si>
  <si>
    <t>用 React 元件寫 Three.js</t>
  </si>
  <si>
    <t>React 專案中的 3D 場景</t>
  </si>
  <si>
    <t>React</t>
  </si>
  <si>
    <t>https://r3f.docs.pmnd.rs</t>
  </si>
  <si>
    <t>https://r3f.docs.pmnd.rs/getting-started/examples</t>
  </si>
  <si>
    <t>https://github.com/pmndrs/react-three-fiber</t>
  </si>
  <si>
    <t>Drei</t>
  </si>
  <si>
    <t>React Three Fiber 常用輔助元件（鏡頭控制、文字、環境光）</t>
  </si>
  <si>
    <t>快速組裝 3D 場景</t>
  </si>
  <si>
    <t>https://drei.docs.pmnd.rs</t>
  </si>
  <si>
    <t>https://github.com/pmndrs/drei</t>
  </si>
  <si>
    <t>Threlte</t>
  </si>
  <si>
    <t>Svelte 版 Three.js 框架</t>
  </si>
  <si>
    <t>Svelte 專案 3D</t>
  </si>
  <si>
    <t>Svelte</t>
  </si>
  <si>
    <t>2026-09-24</t>
  </si>
  <si>
    <t>https://threlte.xyz</t>
  </si>
  <si>
    <t>https://github.com/threlte/threlte</t>
  </si>
  <si>
    <t>TresJS</t>
  </si>
  <si>
    <t>Vue 版 Three.js 框架</t>
  </si>
  <si>
    <t>Vue 專案 3D</t>
  </si>
  <si>
    <t>Vue</t>
  </si>
  <si>
    <t>https://tresjs.org</t>
  </si>
  <si>
    <t>https://lab.tresjs.org</t>
  </si>
  <si>
    <t>https://github.com/Tresjs/tres</t>
  </si>
  <si>
    <t>OGL</t>
  </si>
  <si>
    <t>極簡 WebGL 函式庫，比 Three.js 更輕</t>
  </si>
  <si>
    <t>輕量 shader 特效、效能敏感頁面</t>
  </si>
  <si>
    <t>進階</t>
  </si>
  <si>
    <t>Unlicense</t>
  </si>
  <si>
    <t>2025-04-13</t>
  </si>
  <si>
    <t>https://oframe.github.io/ogl/</t>
  </si>
  <si>
    <t>https://oframe.github.io/ogl/examples/</t>
  </si>
  <si>
    <t>https://github.com/oframe/ogl</t>
  </si>
  <si>
    <t>regl</t>
  </si>
  <si>
    <t>函數式 WebGL 封裝</t>
  </si>
  <si>
    <t>自訂渲染管線、資料視覺 shader</t>
  </si>
  <si>
    <t>2026-09-08</t>
  </si>
  <si>
    <t>https://github.com/regl-project/regl</t>
  </si>
  <si>
    <t>https://regl-project.github.io/regl/www/gallery.html</t>
  </si>
  <si>
    <t>TWGL.js</t>
  </si>
  <si>
    <t>精簡的 WebGL 輔助函式</t>
  </si>
  <si>
    <t>學 WebGL、shader 實驗</t>
  </si>
  <si>
    <t>2026-09-09</t>
  </si>
  <si>
    <t>https://twgljs.org</t>
  </si>
  <si>
    <t>https://github.com/greggman/twgl.js</t>
  </si>
  <si>
    <t>luma.gl</t>
  </si>
  <si>
    <t>vis.gl 的 WebGL2／WebGPU 框架（deck.gl 底層）</t>
  </si>
  <si>
    <t>大量資料 GPU 渲染</t>
  </si>
  <si>
    <t>https://luma.gl</t>
  </si>
  <si>
    <t>https://luma.gl/examples</t>
  </si>
  <si>
    <t>https://github.com/visgl/luma.gl</t>
  </si>
  <si>
    <t>model-viewer</t>
  </si>
  <si>
    <t>Google 的 3D 模型展示 Web Component，一行標籤即可</t>
  </si>
  <si>
    <t>電商 3D 商品、手機 AR 預覽</t>
  </si>
  <si>
    <t>Web Component</t>
  </si>
  <si>
    <t>https://modelviewer.dev</t>
  </si>
  <si>
    <t>https://modelviewer.dev/examples/loading/</t>
  </si>
  <si>
    <t>https://github.com/google/model-viewer</t>
  </si>
  <si>
    <t>Spline</t>
  </si>
  <si>
    <t>3D 設計工具，可匯出網頁嵌入碼與 runtime</t>
  </si>
  <si>
    <t>無程式 3D 互動主視覺</t>
  </si>
  <si>
    <t>原生 JS／React</t>
  </si>
  <si>
    <t>2026-03-13</t>
  </si>
  <si>
    <t>https://spline.design</t>
  </si>
  <si>
    <t>https://community.spline.design</t>
  </si>
  <si>
    <t>https://github.com/splinetool/react-spline</t>
  </si>
  <si>
    <t>Needle Engine</t>
  </si>
  <si>
    <t>把 Unity／Blender 場景匯出成網頁 3D 的引擎</t>
  </si>
  <si>
    <t>3D 互動網站、WebXR</t>
  </si>
  <si>
    <t>★</t>
  </si>
  <si>
    <t>商用授權（有免費方案）</t>
  </si>
  <si>
    <t>https://needle.tools</t>
  </si>
  <si>
    <t>https://engine.needle.tools/samples/</t>
  </si>
  <si>
    <t>Shader Park</t>
  </si>
  <si>
    <t>用 JS 語法寫 SDF 程序化 3D shader</t>
  </si>
  <si>
    <t>程序化 3D 雕塑、音訊反應造型</t>
  </si>
  <si>
    <t>2024-05-28</t>
  </si>
  <si>
    <t>https://shaderpark.com</t>
  </si>
  <si>
    <t>https://shaderpark.com/explore</t>
  </si>
  <si>
    <t>https://github.com/shader-park/shader-park-core</t>
  </si>
  <si>
    <t>glslCanvas</t>
  </si>
  <si>
    <t>在網頁 canvas 執行 GLSL 片段 shader</t>
  </si>
  <si>
    <t>展示 GLSL 特效、動態背景</t>
  </si>
  <si>
    <t>2023-07-19</t>
  </si>
  <si>
    <t>https://github.com/patriciogonzalezvivo/glslCanvas</t>
  </si>
  <si>
    <t>https://thebookofshaders.com</t>
  </si>
  <si>
    <t>curtains.js</t>
  </si>
  <si>
    <t>把 DOM 圖片、影片轉成 WebGL 平面加特效</t>
  </si>
  <si>
    <t>圖片扭曲 hover、轉場</t>
  </si>
  <si>
    <t>2025-04-03</t>
  </si>
  <si>
    <t>https://www.curtainsjs.com</t>
  </si>
  <si>
    <t>https://www.curtainsjs.com/examples/multiple-planes-scroll-effect/index.html</t>
  </si>
  <si>
    <t>https://github.com/martinlaxenaire/curtainsjs</t>
  </si>
  <si>
    <t>GPU.js</t>
  </si>
  <si>
    <t>用 JavaScript 寫 GPU 平行運算</t>
  </si>
  <si>
    <t>大量粒子計算、影像處理加速</t>
  </si>
  <si>
    <t>https://gpu.rocks</t>
  </si>
  <si>
    <t>https://github.com/gpujs/gpu.js</t>
  </si>
  <si>
    <t>three-vrm</t>
  </si>
  <si>
    <t>Three.js 載入 VRM 虛擬人偶模型</t>
  </si>
  <si>
    <t>VTuber 角色、虛擬主播</t>
  </si>
  <si>
    <t>https://github.com/pixiv/three-vrm</t>
  </si>
  <si>
    <t>https://pixiv.github.io/three-vrm/packages/three-vrm/examples/basic.html</t>
  </si>
  <si>
    <t>pixi-live2d-display</t>
  </si>
  <si>
    <t>在 PixiJS 顯示 Live2D 模型</t>
  </si>
  <si>
    <t>Live2D 看板娘、互動角色</t>
  </si>
  <si>
    <t>2024-08-20</t>
  </si>
  <si>
    <t>https://github.com/guansss/pixi-live2d-display</t>
  </si>
  <si>
    <t>https://guansss.github.io/pixi-live2d-display/</t>
  </si>
  <si>
    <t>Cesium（CesiumJS）</t>
  </si>
  <si>
    <t>3D 地球與地理空間引擎</t>
  </si>
  <si>
    <t>3D 城市、飛行模擬、衛星軌道</t>
  </si>
  <si>
    <t>https://cesium.com/platform/cesiumjs/</t>
  </si>
  <si>
    <t>https://sandcastle.cesium.com</t>
  </si>
  <si>
    <t>https://github.com/CesiumGS/cesium</t>
  </si>
  <si>
    <t>03 3D 外掛與調參工具</t>
  </si>
  <si>
    <t>postprocessing</t>
  </si>
  <si>
    <t>Three.js 後製特效（泛光、景深、色差、雜訊）</t>
  </si>
  <si>
    <t>電影感 3D 畫面</t>
  </si>
  <si>
    <t>Zlib</t>
  </si>
  <si>
    <t>https://github.com/pmndrs/postprocessing</t>
  </si>
  <si>
    <t>https://pmndrs.github.io/postprocessing/public/demo/</t>
  </si>
  <si>
    <t>Theatre.js</t>
  </si>
  <si>
    <t>可視化時間軸動畫編輯器，可調 Three.js 動畫與運鏡</t>
  </si>
  <si>
    <t>3D 過場動畫、網站運鏡</t>
  </si>
  <si>
    <t>2024-08-14</t>
  </si>
  <si>
    <t>https://www.theatrejs.com</t>
  </si>
  <si>
    <t>https://www.theatrejs.com/docs/latest</t>
  </si>
  <si>
    <t>https://github.com/theatre-js/theatre</t>
  </si>
  <si>
    <t>lil-gui</t>
  </si>
  <si>
    <t>輕量參數調整面板</t>
  </si>
  <si>
    <t>即時調色、調動畫參數</t>
  </si>
  <si>
    <t>2025-10-12</t>
  </si>
  <si>
    <t>https://lil-gui.georgealways.com</t>
  </si>
  <si>
    <t>https://github.com/georgealways/lil-gui</t>
  </si>
  <si>
    <t>Tweakpane</t>
  </si>
  <si>
    <t>精美參數面板，可監看數值曲線</t>
  </si>
  <si>
    <t>生成藝術調參、Demo 控制台</t>
  </si>
  <si>
    <t>2026-03-15</t>
  </si>
  <si>
    <t>https://tweakpane.github.io/docs/</t>
  </si>
  <si>
    <t>https://github.com/cocopon/tweakpane</t>
  </si>
  <si>
    <t>troika-three-text</t>
  </si>
  <si>
    <t>Three.js 高品質 SDF 文字渲染</t>
  </si>
  <si>
    <t>3D 標題、VR 介面文字</t>
  </si>
  <si>
    <t>2026-07-24</t>
  </si>
  <si>
    <t>https://protectwise.github.io/troika/troika-three-text/</t>
  </si>
  <si>
    <t>https://github.com/protectwise/troika</t>
  </si>
  <si>
    <t>three-nebula</t>
  </si>
  <si>
    <t>Three.js 粒子系統與編輯器</t>
  </si>
  <si>
    <t>3D 火焰、煙霧、魔法特效</t>
  </si>
  <si>
    <t>https://three-nebula.org</t>
  </si>
  <si>
    <t>https://github.com/creativelifeform/three-nebula</t>
  </si>
  <si>
    <t>stats.js</t>
  </si>
  <si>
    <t>FPS 與記憶體效能監看小面板</t>
  </si>
  <si>
    <t>動畫效能監測</t>
  </si>
  <si>
    <t>2024-10-11</t>
  </si>
  <si>
    <t>https://github.com/mrdoob/stats.js</t>
  </si>
  <si>
    <t>https://mrdoob.github.io/stats.js/</t>
  </si>
  <si>
    <t>04 動畫補間與動態設計</t>
  </si>
  <si>
    <t>GSAP</t>
  </si>
  <si>
    <t>業界標準動畫引擎，時間軸、ScrollTrigger、SplitText、MorphSVG 等外掛（2025 起全部免費）</t>
  </si>
  <si>
    <t>網站動效、廣告動畫、捲動敘事、SVG 變形</t>
  </si>
  <si>
    <t>GSAP 標準授權（免費含商用）</t>
  </si>
  <si>
    <t>2026-04-13</t>
  </si>
  <si>
    <t>https://gsap.com</t>
  </si>
  <si>
    <t>https://gsap.com/showcase/</t>
  </si>
  <si>
    <t>https://github.com/greensock/GSAP</t>
  </si>
  <si>
    <t>Anime.js</t>
  </si>
  <si>
    <t>輕量全能動畫引擎（v4），CSS、SVG、DOM、JS 物件皆可動</t>
  </si>
  <si>
    <t>介面動效、SVG 路徑動畫、交錯動畫</t>
  </si>
  <si>
    <t>2026-08-21</t>
  </si>
  <si>
    <t>https://animejs.com</t>
  </si>
  <si>
    <t>https://animejs.com/documentation/</t>
  </si>
  <si>
    <t>https://github.com/juliangarnier/anime</t>
  </si>
  <si>
    <t>Motion（原 Framer Motion）</t>
  </si>
  <si>
    <t>彈簧物理、手勢、版面動畫的動畫庫</t>
  </si>
  <si>
    <t>App 轉場、拖曳卡片、版面切換</t>
  </si>
  <si>
    <t>https://motion.dev</t>
  </si>
  <si>
    <t>https://motion.dev/examples</t>
  </si>
  <si>
    <t>https://github.com/motiondivision/motion</t>
  </si>
  <si>
    <t>React Spring</t>
  </si>
  <si>
    <t>以彈簧物理為基礎的 React 動畫</t>
  </si>
  <si>
    <t>自然彈性動效</t>
  </si>
  <si>
    <t>https://www.react-spring.dev</t>
  </si>
  <si>
    <t>https://www.react-spring.dev/examples</t>
  </si>
  <si>
    <t>https://github.com/pmndrs/react-spring</t>
  </si>
  <si>
    <t>mo.js</t>
  </si>
  <si>
    <t>動態圖形（Motion Graphics）工具組，爆破、漣漪、形狀</t>
  </si>
  <si>
    <t>按讚爆炸、圖示動效</t>
  </si>
  <si>
    <t>2026-07-30</t>
  </si>
  <si>
    <t>https://mojs.github.io</t>
  </si>
  <si>
    <t>https://mojs.github.io/tutorials/</t>
  </si>
  <si>
    <t>https://github.com/mojs/mojs</t>
  </si>
  <si>
    <t>Lottie-web</t>
  </si>
  <si>
    <t>播放 After Effects 匯出的 JSON 向量動畫</t>
  </si>
  <si>
    <t>設計師動畫上網、Loading 動畫</t>
  </si>
  <si>
    <t>2025-09-01</t>
  </si>
  <si>
    <t>https://lottie.airbnb.tech/</t>
  </si>
  <si>
    <t>https://lottiefiles.com/featured</t>
  </si>
  <si>
    <t>https://github.com/airbnb/lottie-web</t>
  </si>
  <si>
    <t>正常（瀏覽器確認）</t>
  </si>
  <si>
    <t>dotLottie Web</t>
  </si>
  <si>
    <t>LottieFiles 新一代播放器（.lottie 格式，更小更快）</t>
  </si>
  <si>
    <t>輕量 Lottie 動畫、互動狀態機</t>
  </si>
  <si>
    <t>2026-09-16</t>
  </si>
  <si>
    <t>https://docs.lottiefiles.com/en</t>
  </si>
  <si>
    <t>https://github.com/LottieFiles/dotlottie-web</t>
  </si>
  <si>
    <t>Rive</t>
  </si>
  <si>
    <t>互動式狀態機動畫（設計工具加執行期）</t>
  </si>
  <si>
    <t>會回應滑鼠的角色、互動按鈕</t>
  </si>
  <si>
    <t>https://rive.app</t>
  </si>
  <si>
    <t>https://rive.app/marketplace/</t>
  </si>
  <si>
    <t>https://github.com/rive-app/rive-wasm</t>
  </si>
  <si>
    <t>tween.js</t>
  </si>
  <si>
    <t>經典補間引擎，常搭配 Three.js</t>
  </si>
  <si>
    <t>3D 物件移動、鏡頭補間</t>
  </si>
  <si>
    <t>2026-09-22</t>
  </si>
  <si>
    <t>https://github.com/tweenjs/tween.js</t>
  </si>
  <si>
    <t>https://tweenjs.github.io/tween.js/</t>
  </si>
  <si>
    <t>AutoAnimate</t>
  </si>
  <si>
    <t>一行程式讓清單增刪排序自動有動畫</t>
  </si>
  <si>
    <t>待辦清單、排序動畫</t>
  </si>
  <si>
    <t>2026-07-10</t>
  </si>
  <si>
    <t>https://auto-animate.formkit.com</t>
  </si>
  <si>
    <t>https://github.com/formkit/auto-animate</t>
  </si>
  <si>
    <t>Animate.css</t>
  </si>
  <si>
    <t>現成 CSS 動畫類別庫</t>
  </si>
  <si>
    <t>進場、彈跳、抖動效果</t>
  </si>
  <si>
    <t>CSS</t>
  </si>
  <si>
    <t>Hippocratic-2.1</t>
  </si>
  <si>
    <t>2024-07-29</t>
  </si>
  <si>
    <t>https://animate.style</t>
  </si>
  <si>
    <t>https://github.com/animate-css/animate.css</t>
  </si>
  <si>
    <t>Hippocratic 授權：含使用倫理限制條款</t>
  </si>
  <si>
    <t>Barba.js</t>
  </si>
  <si>
    <t>無刷新換頁的頁面轉場</t>
  </si>
  <si>
    <t>作品集網站流暢轉場</t>
  </si>
  <si>
    <t>2024-12-02</t>
  </si>
  <si>
    <t>https://barba.js.org</t>
  </si>
  <si>
    <t>https://barba.js.org/docs/getstarted/intro/</t>
  </si>
  <si>
    <t>https://github.com/barbajs/barba</t>
  </si>
  <si>
    <t>Swup</t>
  </si>
  <si>
    <t>多頁網站頁面轉場</t>
  </si>
  <si>
    <t>部落格、形象站轉場</t>
  </si>
  <si>
    <t>https://swup.js.org</t>
  </si>
  <si>
    <t>https://swup.js.org/getting-started/demos/</t>
  </si>
  <si>
    <t>https://github.com/swup/swup</t>
  </si>
  <si>
    <t>KUTE.js</t>
  </si>
  <si>
    <t>高效能補間，含 SVG 形狀變形</t>
  </si>
  <si>
    <t>SVG morph、色彩補間</t>
  </si>
  <si>
    <t>2026-03-26</t>
  </si>
  <si>
    <t>https://thednp.github.io/kute.js/</t>
  </si>
  <si>
    <t>https://github.com/thednp/kute.js</t>
  </si>
  <si>
    <t>Scene.js</t>
  </si>
  <si>
    <t>關鍵影格時間軸動畫</t>
  </si>
  <si>
    <t>CSS 關鍵影格、媒體同步</t>
  </si>
  <si>
    <t>2023-06-19</t>
  </si>
  <si>
    <t>https://daybrush.com/scenejs/</t>
  </si>
  <si>
    <t>https://github.com/daybrush/scenejs</t>
  </si>
  <si>
    <t>Vivus</t>
  </si>
  <si>
    <t>讓 SVG 線條「一筆一筆描出來」</t>
  </si>
  <si>
    <t>Logo 描繪、簽名動畫</t>
  </si>
  <si>
    <t>2022-07-06</t>
  </si>
  <si>
    <t>https://maxwellito.github.io/vivus/</t>
  </si>
  <si>
    <t>https://github.com/maxwellito/vivus</t>
  </si>
  <si>
    <t>05 捲動、視差與輪播</t>
  </si>
  <si>
    <t>ScrollTrigger（GSAP 外掛）</t>
  </si>
  <si>
    <t>捲動觸發與捲動綁定動畫</t>
  </si>
  <si>
    <t>捲動敘事、釘選區段、橫向捲動</t>
  </si>
  <si>
    <t>https://gsap.com/docs/v3/Plugins/ScrollTrigger/</t>
  </si>
  <si>
    <t>https://gsap.com/scroll/</t>
  </si>
  <si>
    <t>Lenis</t>
  </si>
  <si>
    <t>平滑捲動</t>
  </si>
  <si>
    <t>高級感網站捲動手感</t>
  </si>
  <si>
    <t>https://lenis.dev</t>
  </si>
  <si>
    <t>https://github.com/darkroomengineering/lenis</t>
  </si>
  <si>
    <t>Locomotive Scroll</t>
  </si>
  <si>
    <t>平滑捲動加視差偵測</t>
  </si>
  <si>
    <t>視差作品集</t>
  </si>
  <si>
    <t>2026-06-30</t>
  </si>
  <si>
    <t>https://scroll.locomotive.ca</t>
  </si>
  <si>
    <t>https://github.com/locomotivemtl/locomotive-scroll</t>
  </si>
  <si>
    <t>ScrollMagic</t>
  </si>
  <si>
    <t>經典捲動互動框架</t>
  </si>
  <si>
    <t>捲動動畫場景</t>
  </si>
  <si>
    <t>2026-09-25</t>
  </si>
  <si>
    <t>https://scrollmagic.io</t>
  </si>
  <si>
    <t>https://scrollmagic.io/examples/</t>
  </si>
  <si>
    <t>https://github.com/janpaepke/ScrollMagic</t>
  </si>
  <si>
    <t>AOS（Animate On Scroll）</t>
  </si>
  <si>
    <t>捲動進場動畫，用 HTML 屬性設定</t>
  </si>
  <si>
    <t>區塊淡入、滑入</t>
  </si>
  <si>
    <t>2024-03-26</t>
  </si>
  <si>
    <t>https://michalsnik.github.io/aos/</t>
  </si>
  <si>
    <t>https://github.com/michalsnik/aos</t>
  </si>
  <si>
    <t>ScrollReveal</t>
  </si>
  <si>
    <t>捲動顯示動畫</t>
  </si>
  <si>
    <t>區塊逐一出現</t>
  </si>
  <si>
    <t>GPL-3.0</t>
  </si>
  <si>
    <t>2024-04-05</t>
  </si>
  <si>
    <t>https://scrollrevealjs.org</t>
  </si>
  <si>
    <t>https://github.com/jlmakes/scrollreveal</t>
  </si>
  <si>
    <t>GPL／AGPL 授權：開源專案可免費用，閉源商用需購買商業授權</t>
  </si>
  <si>
    <t>Scrollama</t>
  </si>
  <si>
    <t>用 IntersectionObserver 做捲動敘事（Scrollytelling）</t>
  </si>
  <si>
    <t>新聞數據敘事、圖文同步</t>
  </si>
  <si>
    <t>2025-11-13</t>
  </si>
  <si>
    <t>https://github.com/russellsamora/scrollama</t>
  </si>
  <si>
    <t>https://russellsamora.github.io/scrollama/</t>
  </si>
  <si>
    <t>Rellax</t>
  </si>
  <si>
    <t>輕量視差捲動</t>
  </si>
  <si>
    <t>背景層視差</t>
  </si>
  <si>
    <t>2024-08-24</t>
  </si>
  <si>
    <t>https://dixonandmoe.com/rellax/</t>
  </si>
  <si>
    <t>https://github.com/dixonandmoe/rellax</t>
  </si>
  <si>
    <t>Parallax.js</t>
  </si>
  <si>
    <t>依滑鼠或手機陀螺儀的景深視差</t>
  </si>
  <si>
    <t>手機傾斜視差場景</t>
  </si>
  <si>
    <t>2024-04-06</t>
  </si>
  <si>
    <t>https://github.com/wagerfield/parallax</t>
  </si>
  <si>
    <t>http://matthew.wagerfield.com/parallax/</t>
  </si>
  <si>
    <t>fullPage.js</t>
  </si>
  <si>
    <t>全螢幕分頁捲動</t>
  </si>
  <si>
    <t>一頁式簡報網站</t>
  </si>
  <si>
    <t>2026-09-20</t>
  </si>
  <si>
    <t>https://alvarotrigo.com/fullPage/</t>
  </si>
  <si>
    <t>https://alvarotrigo.com/fullPage/#page1</t>
  </si>
  <si>
    <t>https://github.com/alvarotrigo/fullPage.js</t>
  </si>
  <si>
    <t>vanilla-tilt.js</t>
  </si>
  <si>
    <t>滑鼠 3D 傾斜卡片</t>
  </si>
  <si>
    <t>卡片懸浮立體感</t>
  </si>
  <si>
    <t>2024-03-01</t>
  </si>
  <si>
    <t>https://micku7zu.github.io/vanilla-tilt.js/</t>
  </si>
  <si>
    <t>https://github.com/micku7zu/vanilla-tilt.js</t>
  </si>
  <si>
    <t>Atropos</t>
  </si>
  <si>
    <t>多層 3D 視差觸控卡片</t>
  </si>
  <si>
    <t>立體卡片、商品卡</t>
  </si>
  <si>
    <t>2026-05-20</t>
  </si>
  <si>
    <t>https://atroposjs.com</t>
  </si>
  <si>
    <t>https://github.com/nolimits4web/atropos</t>
  </si>
  <si>
    <t>Swiper</t>
  </si>
  <si>
    <t>最主流的觸控輪播</t>
  </si>
  <si>
    <t>輪播圖、3D 卡片翻頁</t>
  </si>
  <si>
    <t>2026-09-28</t>
  </si>
  <si>
    <t>https://swiperjs.com</t>
  </si>
  <si>
    <t>https://swiperjs.com/demos</t>
  </si>
  <si>
    <t>https://github.com/nolimits4web/swiper</t>
  </si>
  <si>
    <t>Splide</t>
  </si>
  <si>
    <t>輕量、無障礙輪播</t>
  </si>
  <si>
    <t>圖片輪播</t>
  </si>
  <si>
    <t>2024-07-08</t>
  </si>
  <si>
    <t>https://splidejs.com</t>
  </si>
  <si>
    <t>https://github.com/Splidejs/splide</t>
  </si>
  <si>
    <t>Embla Carousel</t>
  </si>
  <si>
    <t>高自由度輪播核心</t>
  </si>
  <si>
    <t>自訂輪播</t>
  </si>
  <si>
    <t>https://www.embla-carousel.com</t>
  </si>
  <si>
    <t>https://www.embla-carousel.com/docs/examples/predefined</t>
  </si>
  <si>
    <t>https://github.com/davidjerleke/embla-carousel</t>
  </si>
  <si>
    <t>Flickity</t>
  </si>
  <si>
    <t>物理手感輪播</t>
  </si>
  <si>
    <t>拖曳輪播</t>
  </si>
  <si>
    <t>2024-05-29</t>
  </si>
  <si>
    <t>https://flickity.metafizzy.co</t>
  </si>
  <si>
    <t>https://github.com/metafizzy/flickity</t>
  </si>
  <si>
    <t>06 文字特效與排版</t>
  </si>
  <si>
    <t>Typed.js</t>
  </si>
  <si>
    <t>打字機效果</t>
  </si>
  <si>
    <t>首頁標語打字</t>
  </si>
  <si>
    <t>2026-01-25</t>
  </si>
  <si>
    <t>https://mattboldt.com/demos/typed-js/</t>
  </si>
  <si>
    <t>https://github.com/mattboldt/typed.js</t>
  </si>
  <si>
    <t>GPL-3.0：閉源商用前請確認授權條款</t>
  </si>
  <si>
    <t>TypeIt</t>
  </si>
  <si>
    <t>進階打字機（刪字、暫停、游標控制）</t>
  </si>
  <si>
    <t>對話式文字、角色台詞</t>
  </si>
  <si>
    <t>2025-04-04</t>
  </si>
  <si>
    <t>https://www.typeitjs.com</t>
  </si>
  <si>
    <t>https://github.com/alexmacarthur/typeit</t>
  </si>
  <si>
    <t>Splitting.js</t>
  </si>
  <si>
    <t>把文字拆成字、行元素供 CSS 動畫</t>
  </si>
  <si>
    <t>逐字進場、波浪文字</t>
  </si>
  <si>
    <t>2024-06-19</t>
  </si>
  <si>
    <t>https://splitting.js.org</t>
  </si>
  <si>
    <t>https://github.com/shshaw/Splitting</t>
  </si>
  <si>
    <t>SplitType</t>
  </si>
  <si>
    <t>拆字拆行（常搭配 GSAP）</t>
  </si>
  <si>
    <t>逐字逐行動畫</t>
  </si>
  <si>
    <t>ISC</t>
  </si>
  <si>
    <t>2023-12-03</t>
  </si>
  <si>
    <t>https://github.com/lukePeavey/SplitType</t>
  </si>
  <si>
    <t>https://lukepeavey.github.io/SplitType/</t>
  </si>
  <si>
    <t>Baffle.js</t>
  </si>
  <si>
    <t>亂碼解碼文字效果</t>
  </si>
  <si>
    <t>駭客風標題</t>
  </si>
  <si>
    <t>2017-08-28</t>
  </si>
  <si>
    <t>https://camwiegert.github.io/baffle/</t>
  </si>
  <si>
    <t>https://github.com/camwiegert/baffle</t>
  </si>
  <si>
    <t>GitHub 倉庫已封存，仍可使用但不再更新</t>
  </si>
  <si>
    <t>Blotter.js</t>
  </si>
  <si>
    <t>用 shader 做文字特效（液態、扭曲、色散）</t>
  </si>
  <si>
    <t>液態標題</t>
  </si>
  <si>
    <t>2020-07-28</t>
  </si>
  <si>
    <t>https://blotter.js.org</t>
  </si>
  <si>
    <t>https://github.com/bradley/Blotter</t>
  </si>
  <si>
    <t>CircleType</t>
  </si>
  <si>
    <t>文字排成弧形或圓形</t>
  </si>
  <si>
    <t>徽章、印章文字</t>
  </si>
  <si>
    <t>2026-01-20</t>
  </si>
  <si>
    <t>https://circletype.labwire.ca</t>
  </si>
  <si>
    <t>https://github.com/peterhry/CircleType</t>
  </si>
  <si>
    <t>fitty</t>
  </si>
  <si>
    <t>文字自動縮放塞滿容器</t>
  </si>
  <si>
    <t>大字報標題</t>
  </si>
  <si>
    <t>2025-05-15</t>
  </si>
  <si>
    <t>https://rikschennink.github.io/fitty/</t>
  </si>
  <si>
    <t>https://github.com/rikschennink/fitty</t>
  </si>
  <si>
    <t>opentype.js</t>
  </si>
  <si>
    <t>讀取字型檔並取得字形向量路徑</t>
  </si>
  <si>
    <t>文字變形、字形動畫、文字粒子</t>
  </si>
  <si>
    <t>2026-08-08</t>
  </si>
  <si>
    <t>https://opentype.js.org</t>
  </si>
  <si>
    <t>https://opentype.js.org/glyph-inspector.html</t>
  </si>
  <si>
    <t>https://github.com/opentypejs/opentype.js</t>
  </si>
  <si>
    <t>Rough Notation</t>
  </si>
  <si>
    <t>手繪風標註動畫（圈選、底線、螢光筆）</t>
  </si>
  <si>
    <t>簡報重點標示、教學頁</t>
  </si>
  <si>
    <t>2024-03-18</t>
  </si>
  <si>
    <t>https://roughnotation.com</t>
  </si>
  <si>
    <t>https://github.com/rough-stuff/rough-notation</t>
  </si>
  <si>
    <t>Marked</t>
  </si>
  <si>
    <t>Markdown 轉 HTML</t>
  </si>
  <si>
    <t>文章渲染、AI 回覆顯示</t>
  </si>
  <si>
    <t>https://marked.js.org</t>
  </si>
  <si>
    <t>https://marked.js.org/demo/</t>
  </si>
  <si>
    <t>https://github.com/markedjs/marked</t>
  </si>
  <si>
    <t>07 粒子與背景特效</t>
  </si>
  <si>
    <t>tsParticles</t>
  </si>
  <si>
    <t>高度可自訂的粒子系統，內建彩帶、煙火、星空預設</t>
  </si>
  <si>
    <t>背景粒子、互動連線網</t>
  </si>
  <si>
    <t>https://particles.js.org</t>
  </si>
  <si>
    <t>https://particles.js.org/demos/</t>
  </si>
  <si>
    <t>https://github.com/tsparticles/tsparticles</t>
  </si>
  <si>
    <t>particles.js</t>
  </si>
  <si>
    <t>經典粒子連線背景</t>
  </si>
  <si>
    <t>科技感背景</t>
  </si>
  <si>
    <t>2024-03-28</t>
  </si>
  <si>
    <t>https://vincentgarreau.com/particles.js/</t>
  </si>
  <si>
    <t>https://github.com/VincentGarreau/particles.js</t>
  </si>
  <si>
    <t>Proton</t>
  </si>
  <si>
    <t>粒子引擎，支援 Canvas、WebGL、DOM</t>
  </si>
  <si>
    <t>火焰、雪、煙霧</t>
  </si>
  <si>
    <t>2026-03-06</t>
  </si>
  <si>
    <t>https://drawcall.github.io/Proton/</t>
  </si>
  <si>
    <t>https://github.com/drawcall/Proton</t>
  </si>
  <si>
    <t>Vanta.js</t>
  </si>
  <si>
    <t>現成 3D 動態背景（鳥群、霧、波浪、網格）</t>
  </si>
  <si>
    <t>首頁主視覺背景</t>
  </si>
  <si>
    <t>2024-03-03</t>
  </si>
  <si>
    <t>https://www.vantajs.com</t>
  </si>
  <si>
    <t>https://github.com/tengbao/vanta</t>
  </si>
  <si>
    <t>Granim.js</t>
  </si>
  <si>
    <t>流動漸層背景</t>
  </si>
  <si>
    <t>柔和漸層動畫</t>
  </si>
  <si>
    <t>2022-12-06</t>
  </si>
  <si>
    <t>https://sarcadass.github.io/granim.js/</t>
  </si>
  <si>
    <t>https://sarcadass.github.io/granim.js/examples.html</t>
  </si>
  <si>
    <t>https://github.com/sarcadass/granim.js</t>
  </si>
  <si>
    <t>Trianglify</t>
  </si>
  <si>
    <t>產生低多邊形（Low Poly）背景圖</t>
  </si>
  <si>
    <t>網站背景、桌布</t>
  </si>
  <si>
    <t>2025-05-12</t>
  </si>
  <si>
    <t>https://trianglify.io</t>
  </si>
  <si>
    <t>https://github.com/qrohlf/trianglify</t>
  </si>
  <si>
    <t>canvas-confetti</t>
  </si>
  <si>
    <t>彩帶紙花特效</t>
  </si>
  <si>
    <t>抽獎成功、完成慶祝</t>
  </si>
  <si>
    <t>2025-10-25</t>
  </si>
  <si>
    <t>https://www.kirilv.com/canvas-confetti/</t>
  </si>
  <si>
    <t>https://github.com/catdad/canvas-confetti</t>
  </si>
  <si>
    <t>js-confetti</t>
  </si>
  <si>
    <t>Emoji 彩帶特效</t>
  </si>
  <si>
    <t>慶祝特效</t>
  </si>
  <si>
    <t>2025-09-02</t>
  </si>
  <si>
    <t>https://github.com/loonywizard/js-confetti</t>
  </si>
  <si>
    <t>https://loonywizard.github.io/js-confetti/</t>
  </si>
  <si>
    <t>fireworks-js</t>
  </si>
  <si>
    <t>煙火特效</t>
  </si>
  <si>
    <t>節慶頁面</t>
  </si>
  <si>
    <t>2024-07-16</t>
  </si>
  <si>
    <t>https://fireworks.js.org</t>
  </si>
  <si>
    <t>https://github.com/crashmax-dev/fireworks-js</t>
  </si>
  <si>
    <t>WebGL Fluid Simulation</t>
  </si>
  <si>
    <t>WebGL 流體模擬</t>
  </si>
  <si>
    <t>滑鼠拖曳彩色流體</t>
  </si>
  <si>
    <t>2024-11-12</t>
  </si>
  <si>
    <t>https://github.com/PavelDoGreat/WebGL-Fluid-Simulation</t>
  </si>
  <si>
    <t>https://paveldogreat.github.io/WebGL-Fluid-Simulation/</t>
  </si>
  <si>
    <t>ShaderGradient</t>
  </si>
  <si>
    <t>3D 流動漸層背景</t>
  </si>
  <si>
    <t>高質感漸層主視覺</t>
  </si>
  <si>
    <t>React／Framer</t>
  </si>
  <si>
    <t>見 GitHub</t>
  </si>
  <si>
    <t>https://shadergradient.co</t>
  </si>
  <si>
    <t>https://shadergradient.co/customize</t>
  </si>
  <si>
    <t>https://github.com/ruucm/shadergradient</t>
  </si>
  <si>
    <t>COBE</t>
  </si>
  <si>
    <t>5KB 的 WebGL 點陣地球</t>
  </si>
  <si>
    <t>首頁旋轉地球</t>
  </si>
  <si>
    <t>https://cobe.vercel.app</t>
  </si>
  <si>
    <t>https://github.com/shuding/cobe</t>
  </si>
  <si>
    <t>hover-effect</t>
  </si>
  <si>
    <t>WebGL 圖片滑過扭曲轉場</t>
  </si>
  <si>
    <t>作品集圖片 hover</t>
  </si>
  <si>
    <t>2023-06-27</t>
  </si>
  <si>
    <t>https://github.com/robin-dela/hover-effect</t>
  </si>
  <si>
    <t>https://tympanus.net/Development/DistortionHoverEffect/</t>
  </si>
  <si>
    <t>cursor-effects</t>
  </si>
  <si>
    <t>滑鼠拖尾特效集（彩虹、泡泡、雪花）</t>
  </si>
  <si>
    <t>懷舊網頁特效</t>
  </si>
  <si>
    <t>2026-02-26</t>
  </si>
  <si>
    <t>https://tholman.com/cursor-effects/</t>
  </si>
  <si>
    <t>https://github.com/tholman/cursor-effects</t>
  </si>
  <si>
    <t>08 物理引擎</t>
  </si>
  <si>
    <t>Matter.js</t>
  </si>
  <si>
    <t>2D 剛體物理</t>
  </si>
  <si>
    <t>掉落堆疊、彈跳互動、物理拼圖</t>
  </si>
  <si>
    <t>https://brm.io/matter-js/</t>
  </si>
  <si>
    <t>https://brm.io/matter-js/demo/</t>
  </si>
  <si>
    <t>https://github.com/liabru/matter-js</t>
  </si>
  <si>
    <t>Planck.js</t>
  </si>
  <si>
    <t>Box2D 的 JavaScript 重寫版</t>
  </si>
  <si>
    <t>物理遊戲（憤怒鳥類）</t>
  </si>
  <si>
    <t>https://piqnt.com/planck.js/</t>
  </si>
  <si>
    <t>https://github.com/piqnt/planck.js</t>
  </si>
  <si>
    <t>p2.js</t>
  </si>
  <si>
    <t>2D 物理（約束、彈簧、車輛）</t>
  </si>
  <si>
    <t>物理小遊戲</t>
  </si>
  <si>
    <t>2022-07-09</t>
  </si>
  <si>
    <t>https://github.com/schteppe/p2.js</t>
  </si>
  <si>
    <t>https://schteppe.github.io/p2.js/</t>
  </si>
  <si>
    <t>cannon-es</t>
  </si>
  <si>
    <t>輕量 3D 物理，常搭配 Three.js</t>
  </si>
  <si>
    <t>3D 骰子、落下物體</t>
  </si>
  <si>
    <t>2024-01-06</t>
  </si>
  <si>
    <t>https://github.com/pmndrs/cannon-es</t>
  </si>
  <si>
    <t>https://pmndrs.github.io/cannon-es/</t>
  </si>
  <si>
    <t>Rapier</t>
  </si>
  <si>
    <t>Rust 寫成的高效能 2D／3D 物理（WASM）</t>
  </si>
  <si>
    <t>大量物體模擬、角色控制</t>
  </si>
  <si>
    <t>https://rapier.rs</t>
  </si>
  <si>
    <t>https://rapier.rs/demos3d/index.html</t>
  </si>
  <si>
    <t>https://github.com/dimforge/rapier</t>
  </si>
  <si>
    <t>JS 綁定已併入 dimforge/rapier 主倉庫</t>
  </si>
  <si>
    <t>ammo.js</t>
  </si>
  <si>
    <t>Bullet 物理引擎的 WASM 移植</t>
  </si>
  <si>
    <t>車輛、布料、軟體物理</t>
  </si>
  <si>
    <t>https://github.com/kripken/ammo.js</t>
  </si>
  <si>
    <t>https://threejs.org/examples/?q=physics</t>
  </si>
  <si>
    <t>JoltPhysics.js</t>
  </si>
  <si>
    <t>3A 遊戲使用的 Jolt 物理引擎 WASM 版</t>
  </si>
  <si>
    <t>大規模 3D 物理</t>
  </si>
  <si>
    <t>2026-08-23</t>
  </si>
  <si>
    <t>https://github.com/jrouwe/JoltPhysics.js</t>
  </si>
  <si>
    <t>https://jrouwe.github.io/JoltPhysics.js/</t>
  </si>
  <si>
    <t>Oimo.js</t>
  </si>
  <si>
    <t>輕量 3D 物理</t>
  </si>
  <si>
    <t>簡易 3D 碰撞</t>
  </si>
  <si>
    <t>2021-07-08</t>
  </si>
  <si>
    <t>https://github.com/lo-th/Oimo.js</t>
  </si>
  <si>
    <t>https://lo-th.github.io/Oimo.js/</t>
  </si>
  <si>
    <t>09 遊戲引擎與遊戲工具</t>
  </si>
  <si>
    <t>Phaser</t>
  </si>
  <si>
    <t>最熱門的 2D HTML5 遊戲框架</t>
  </si>
  <si>
    <t>平台跳躍、射擊、RPG 小遊戲</t>
  </si>
  <si>
    <t>https://phaser.io</t>
  </si>
  <si>
    <t>https://labs.phaser.io</t>
  </si>
  <si>
    <t>https://github.com/phaserjs/phaser</t>
  </si>
  <si>
    <t>需人工確認</t>
  </si>
  <si>
    <t>官網有 Cloudflare 機器人驗證，自動檢查無法確認，請用瀏覽器開啟</t>
  </si>
  <si>
    <t>KAPLAY</t>
  </si>
  <si>
    <t>極簡 2D 遊戲函式庫（Kaboom.js 後繼）</t>
  </si>
  <si>
    <t>快速做小遊戲、程式教學</t>
  </si>
  <si>
    <t>https://kaplayjs.com</t>
  </si>
  <si>
    <t>https://play.kaplayjs.com</t>
  </si>
  <si>
    <t>https://github.com/kaplayjs/kaplay</t>
  </si>
  <si>
    <t>Excalibur.js</t>
  </si>
  <si>
    <t>TypeScript 2D 遊戲引擎</t>
  </si>
  <si>
    <t>2D 遊戲</t>
  </si>
  <si>
    <t>BSD-2-Clause</t>
  </si>
  <si>
    <t>https://excaliburjs.com</t>
  </si>
  <si>
    <t>https://excaliburjs.com/samples/</t>
  </si>
  <si>
    <t>https://github.com/excaliburjs/Excalibur</t>
  </si>
  <si>
    <t>melonJS</t>
  </si>
  <si>
    <t>輕量 2D 引擎，支援 Tiled 地圖</t>
  </si>
  <si>
    <t>像素 RPG</t>
  </si>
  <si>
    <t>https://melonjs.org</t>
  </si>
  <si>
    <t>https://github.com/melonjs/melonJS</t>
  </si>
  <si>
    <t>LittleJS</t>
  </si>
  <si>
    <t>超輕量 2D 遊戲引擎</t>
  </si>
  <si>
    <t>Game Jam 小遊戲</t>
  </si>
  <si>
    <t>https://github.com/KilledByAPixel/LittleJS</t>
  </si>
  <si>
    <t>https://killedbyapixel.github.io/LittleJS/examples/</t>
  </si>
  <si>
    <t>Kontra.js</t>
  </si>
  <si>
    <t>極小遊戲微框架（js13k 常用）</t>
  </si>
  <si>
    <t>13KB 小遊戲</t>
  </si>
  <si>
    <t>2026-01-30</t>
  </si>
  <si>
    <t>https://straker.github.io/kontra/</t>
  </si>
  <si>
    <t>https://github.com/straker/kontra</t>
  </si>
  <si>
    <t>Cocos Creator</t>
  </si>
  <si>
    <t>跨平台 2D／3D 遊戲引擎加編輯器</t>
  </si>
  <si>
    <t>手機與網頁遊戲</t>
  </si>
  <si>
    <t>編輯器工具</t>
  </si>
  <si>
    <t>2026-09-21</t>
  </si>
  <si>
    <t>https://www.cocos.com/en/creator</t>
  </si>
  <si>
    <t>https://github.com/cocos/cocos-engine</t>
  </si>
  <si>
    <t>GDevelop</t>
  </si>
  <si>
    <t>開源無程式遊戲引擎，輸出 HTML5</t>
  </si>
  <si>
    <t>無程式做網頁遊戲</t>
  </si>
  <si>
    <t>https://gdevelop.io</t>
  </si>
  <si>
    <t>https://gd.games</t>
  </si>
  <si>
    <t>https://github.com/4ian/GDevelop</t>
  </si>
  <si>
    <t>rot.js</t>
  </si>
  <si>
    <t>Roguelike 工具包（地圖生成、視野、尋路）</t>
  </si>
  <si>
    <t>地牢探索遊戲</t>
  </si>
  <si>
    <t>BSD-3-Clause</t>
  </si>
  <si>
    <t>2024-11-13</t>
  </si>
  <si>
    <t>https://ondras.github.io/rot.js/hp/</t>
  </si>
  <si>
    <t>https://ondras.github.io/rot.js/manual/</t>
  </si>
  <si>
    <t>https://github.com/ondras/rot.js</t>
  </si>
  <si>
    <t>PathFinding.js</t>
  </si>
  <si>
    <t>A* 等網格尋路演算法</t>
  </si>
  <si>
    <t>遊戲 AI 尋路、迷宮</t>
  </si>
  <si>
    <t>2024-06-20</t>
  </si>
  <si>
    <t>https://github.com/qiao/PathFinding.js</t>
  </si>
  <si>
    <t>https://qiao.github.io/PathFinding.js/visual/</t>
  </si>
  <si>
    <t>boardgame.io</t>
  </si>
  <si>
    <t>回合制桌遊框架，含多人連線</t>
  </si>
  <si>
    <t>線上桌遊</t>
  </si>
  <si>
    <t>2026-09-18</t>
  </si>
  <si>
    <t>https://boardgame.io</t>
  </si>
  <si>
    <t>https://boardgame.io/documentation/</t>
  </si>
  <si>
    <t>https://github.com/boardgameio/boardgame.io</t>
  </si>
  <si>
    <t>Colyseus</t>
  </si>
  <si>
    <t>多人即時遊戲伺服器框架</t>
  </si>
  <si>
    <t>多人連線遊戲</t>
  </si>
  <si>
    <t>Node.js</t>
  </si>
  <si>
    <t>https://colyseus.io</t>
  </si>
  <si>
    <t>https://github.com/colyseus/colyseus</t>
  </si>
  <si>
    <t>ZzFX</t>
  </si>
  <si>
    <t>超小型程序化音效產生器</t>
  </si>
  <si>
    <t>遊戲音效</t>
  </si>
  <si>
    <t>https://github.com/KilledByAPixel/ZzFX</t>
  </si>
  <si>
    <t>https://killedbyapixel.github.io/ZzFX/</t>
  </si>
  <si>
    <t>jsfxr</t>
  </si>
  <si>
    <t>8-bit 復古音效產生器</t>
  </si>
  <si>
    <t>跳躍、金幣、爆炸音效</t>
  </si>
  <si>
    <t>2026-05-05</t>
  </si>
  <si>
    <t>https://sfxr.me</t>
  </si>
  <si>
    <t>https://github.com/chr15m/jsfxr</t>
  </si>
  <si>
    <t>10 資料視覺化圖表與表格</t>
  </si>
  <si>
    <t>D3.js</t>
  </si>
  <si>
    <t>資料驅動文件，自由度最高的視覺化底層</t>
  </si>
  <si>
    <t>客製化互動圖表、新聞圖解</t>
  </si>
  <si>
    <t>2026-05-28</t>
  </si>
  <si>
    <t>https://d3js.org</t>
  </si>
  <si>
    <t>https://observablehq.com/@d3/gallery</t>
  </si>
  <si>
    <t>https://github.com/d3/d3</t>
  </si>
  <si>
    <t>Chart.js</t>
  </si>
  <si>
    <t>簡單好用的 Canvas 圖表</t>
  </si>
  <si>
    <t>長條、折線、圓餅、雷達圖</t>
  </si>
  <si>
    <t>https://www.chartjs.org</t>
  </si>
  <si>
    <t>https://www.chartjs.org/docs/latest/samples/</t>
  </si>
  <si>
    <t>https://github.com/chartjs/Chart.js</t>
  </si>
  <si>
    <t>Apache ECharts</t>
  </si>
  <si>
    <t>功能完整的圖表庫，含地圖、3D、大數據</t>
  </si>
  <si>
    <t>儀表板、數據大屏</t>
  </si>
  <si>
    <t>https://echarts.apache.org</t>
  </si>
  <si>
    <t>https://echarts.apache.org/examples/</t>
  </si>
  <si>
    <t>https://github.com/apache/echarts</t>
  </si>
  <si>
    <t>Plotly.js</t>
  </si>
  <si>
    <t>科學與統計圖表，含 3D 曲面</t>
  </si>
  <si>
    <t>科研圖、3D 散點</t>
  </si>
  <si>
    <t>https://plotly.com/javascript/</t>
  </si>
  <si>
    <t>https://plotly.com/javascript/basic-charts/</t>
  </si>
  <si>
    <t>https://github.com/plotly/plotly.js</t>
  </si>
  <si>
    <t>Highcharts</t>
  </si>
  <si>
    <t>商業級互動圖表</t>
  </si>
  <si>
    <t>企業報表</t>
  </si>
  <si>
    <t>商用授權（非商用免費）</t>
  </si>
  <si>
    <t>https://www.highcharts.com</t>
  </si>
  <si>
    <t>https://www.highcharts.com/demo</t>
  </si>
  <si>
    <t>https://github.com/highcharts/highcharts</t>
  </si>
  <si>
    <t>ApexCharts</t>
  </si>
  <si>
    <t>現代互動 SVG 圖表</t>
  </si>
  <si>
    <t>後台儀表板</t>
  </si>
  <si>
    <t>https://apexcharts.com</t>
  </si>
  <si>
    <t>https://apexcharts.com/javascript-chart-demos/</t>
  </si>
  <si>
    <t>https://github.com/apexcharts/apexcharts.js</t>
  </si>
  <si>
    <t>Recharts</t>
  </si>
  <si>
    <t>React 圖表元件</t>
  </si>
  <si>
    <t>React 儀表板</t>
  </si>
  <si>
    <t>https://recharts.org</t>
  </si>
  <si>
    <t>https://recharts.github.io/en-US/examples</t>
  </si>
  <si>
    <t>https://github.com/recharts/recharts</t>
  </si>
  <si>
    <t>Nivo</t>
  </si>
  <si>
    <t>React 加 D3 的精美圖表集</t>
  </si>
  <si>
    <t>報表、互動圖</t>
  </si>
  <si>
    <t>2026-07-21</t>
  </si>
  <si>
    <t>https://nivo.rocks</t>
  </si>
  <si>
    <t>https://github.com/plouc/nivo</t>
  </si>
  <si>
    <t>Victory</t>
  </si>
  <si>
    <t>React／React Native 圖表</t>
  </si>
  <si>
    <t>手機與網頁圖表</t>
  </si>
  <si>
    <t>2025-12-19</t>
  </si>
  <si>
    <t>https://nearform.com/open-source/victory/</t>
  </si>
  <si>
    <t>https://github.com/FormidableLabs/victory</t>
  </si>
  <si>
    <t>Vega-Lite</t>
  </si>
  <si>
    <t>用 JSON 宣告就能畫圖的視覺化文法</t>
  </si>
  <si>
    <t>快速探索分析</t>
  </si>
  <si>
    <t>https://vega.github.io/vega-lite/</t>
  </si>
  <si>
    <t>https://vega.github.io/vega-lite/examples/</t>
  </si>
  <si>
    <t>https://github.com/vega/vega-lite</t>
  </si>
  <si>
    <t>Observable Plot</t>
  </si>
  <si>
    <t>D3 團隊的高階繪圖 API</t>
  </si>
  <si>
    <t>探索式資料圖</t>
  </si>
  <si>
    <t>2026-09-01</t>
  </si>
  <si>
    <t>https://observablehq.github.io/plot/</t>
  </si>
  <si>
    <t>https://observablehq.com/@observablehq/plot-gallery</t>
  </si>
  <si>
    <t>https://github.com/observablehq/plot</t>
  </si>
  <si>
    <t>AntV G2</t>
  </si>
  <si>
    <t>螞蟻集團的圖形文法圖表</t>
  </si>
  <si>
    <t>商業報表</t>
  </si>
  <si>
    <t>https://g2.antv.antgroup.com</t>
  </si>
  <si>
    <t>https://g2.antv.antgroup.com/en/examples</t>
  </si>
  <si>
    <t>https://github.com/antvis/G2</t>
  </si>
  <si>
    <t>billboard.js</t>
  </si>
  <si>
    <t>以 D3 為基礎的圖表（C3.js 後繼）</t>
  </si>
  <si>
    <t>報表</t>
  </si>
  <si>
    <t>https://naver.github.io/billboard.js/</t>
  </si>
  <si>
    <t>https://naver.github.io/billboard.js/demo/</t>
  </si>
  <si>
    <t>https://github.com/naver/billboard.js</t>
  </si>
  <si>
    <t>uPlot</t>
  </si>
  <si>
    <t>超高速時間序列圖表</t>
  </si>
  <si>
    <t>即時監控、百萬點資料</t>
  </si>
  <si>
    <t>https://github.com/leeoniya/uPlot</t>
  </si>
  <si>
    <t>https://leeoniya.github.io/uPlot/demos/index.html</t>
  </si>
  <si>
    <t>Lightweight Charts</t>
  </si>
  <si>
    <t>TradingView 金融 K 線圖</t>
  </si>
  <si>
    <t>股價、加密貨幣走勢</t>
  </si>
  <si>
    <t>https://www.tradingview.com/lightweight-charts/</t>
  </si>
  <si>
    <t>https://tradingview.github.io/lightweight-charts/tutorials</t>
  </si>
  <si>
    <t>https://github.com/tradingview/lightweight-charts</t>
  </si>
  <si>
    <t>Frappe Charts</t>
  </si>
  <si>
    <t>輕量 GitHub 風格圖表</t>
  </si>
  <si>
    <t>熱力日曆、簡易圖表</t>
  </si>
  <si>
    <t>2025-07-02</t>
  </si>
  <si>
    <t>https://frappe.github.io/charts/</t>
  </si>
  <si>
    <t>https://github.com/frappe/charts</t>
  </si>
  <si>
    <t>amCharts 5</t>
  </si>
  <si>
    <t>商業級圖表與地圖</t>
  </si>
  <si>
    <t>動態地圖、甘特、時間軸</t>
  </si>
  <si>
    <t>免費版顯示 logo，去除需付費</t>
  </si>
  <si>
    <t>https://www.amcharts.com</t>
  </si>
  <si>
    <t>https://www.amcharts.com/demos/</t>
  </si>
  <si>
    <t>https://github.com/amcharts/amcharts5</t>
  </si>
  <si>
    <t>CountUp.js</t>
  </si>
  <si>
    <t>數字滾動遞增動畫</t>
  </si>
  <si>
    <t>KPI 數字、成就統計</t>
  </si>
  <si>
    <t>2026-07-02</t>
  </si>
  <si>
    <t>https://inorganik.github.io/countUp.js/</t>
  </si>
  <si>
    <t>https://github.com/inorganik/countUp.js</t>
  </si>
  <si>
    <t>Odometer</t>
  </si>
  <si>
    <t>里程表式數字翻動</t>
  </si>
  <si>
    <t>計數器、倒數</t>
  </si>
  <si>
    <t>2018-06-30</t>
  </si>
  <si>
    <t>https://github.hubspot.com/odometer/</t>
  </si>
  <si>
    <t>https://github.hubspot.com/odometer/docs/welcome/</t>
  </si>
  <si>
    <t>https://github.com/HubSpot/odometer</t>
  </si>
  <si>
    <t>wordcloud2.js</t>
  </si>
  <si>
    <t>文字雲</t>
  </si>
  <si>
    <t>關鍵字雲、問卷回饋視覺化</t>
  </si>
  <si>
    <t>2024-11-14</t>
  </si>
  <si>
    <t>https://wordcloud2-js.timdream.org</t>
  </si>
  <si>
    <t>https://github.com/timdream/wordcloud2.js</t>
  </si>
  <si>
    <t>heatmap.js</t>
  </si>
  <si>
    <t>熱力圖</t>
  </si>
  <si>
    <t>點擊熱區、密度分布</t>
  </si>
  <si>
    <t>2023-10-31</t>
  </si>
  <si>
    <t>https://www.patrick-wied.at/static/heatmapjs/</t>
  </si>
  <si>
    <t>https://www.patrick-wied.at/static/heatmapjs/examples.html</t>
  </si>
  <si>
    <t>https://github.com/pa7/heatmap.js</t>
  </si>
  <si>
    <t>TimelineJS</t>
  </si>
  <si>
    <t>從 Google 試算表產生互動時間軸</t>
  </si>
  <si>
    <t>歷史沿革、專案年表</t>
  </si>
  <si>
    <t>嵌入碼</t>
  </si>
  <si>
    <t>MPL-2.0</t>
  </si>
  <si>
    <t>https://timeline.knightlab.com</t>
  </si>
  <si>
    <t>https://github.com/NUKnightLab/TimelineJS3</t>
  </si>
  <si>
    <t>Tabulator</t>
  </si>
  <si>
    <t>互動資料表（排序、篩選、編輯、匯出）</t>
  </si>
  <si>
    <t>後台表格</t>
  </si>
  <si>
    <t>https://tabulator.info</t>
  </si>
  <si>
    <t>https://www.tabulator.info/examples/6.x/</t>
  </si>
  <si>
    <t>https://github.com/tabulator-tables/tabulator</t>
  </si>
  <si>
    <t>AG Grid</t>
  </si>
  <si>
    <t>企業級資料表格</t>
  </si>
  <si>
    <t>大量資料表</t>
  </si>
  <si>
    <t>社群版 MIT，企業版付費</t>
  </si>
  <si>
    <t>https://www.ag-grid.com</t>
  </si>
  <si>
    <t>https://www.ag-grid.com/example/</t>
  </si>
  <si>
    <t>https://github.com/ag-grid/ag-grid</t>
  </si>
  <si>
    <t>Grid.js</t>
  </si>
  <si>
    <t>輕量表格</t>
  </si>
  <si>
    <t>簡易表格</t>
  </si>
  <si>
    <t>2026-01-29</t>
  </si>
  <si>
    <t>https://gridjs.io</t>
  </si>
  <si>
    <t>https://gridjs.io/docs/examples/hello-world</t>
  </si>
  <si>
    <t>https://github.com/grid-js/gridjs</t>
  </si>
  <si>
    <t>DataTables</t>
  </si>
  <si>
    <t>jQuery 表格外掛</t>
  </si>
  <si>
    <t>傳統網站表格</t>
  </si>
  <si>
    <t>jQuery</t>
  </si>
  <si>
    <t>https://datatables.net</t>
  </si>
  <si>
    <t>https://datatables.net/examples/</t>
  </si>
  <si>
    <t>https://github.com/DataTables/DataTables</t>
  </si>
  <si>
    <t>11 網路圖與關係圖</t>
  </si>
  <si>
    <t>Cytoscape.js</t>
  </si>
  <si>
    <t>圖論網路分析與視覺化</t>
  </si>
  <si>
    <t>人物關係圖、生物網路</t>
  </si>
  <si>
    <t>https://js.cytoscape.org</t>
  </si>
  <si>
    <t>https://js.cytoscape.org/#demos</t>
  </si>
  <si>
    <t>https://github.com/cytoscape/cytoscape.js</t>
  </si>
  <si>
    <t>Sigma.js</t>
  </si>
  <si>
    <t>大型網路圖 WebGL 渲染</t>
  </si>
  <si>
    <t>上萬節點社群網路</t>
  </si>
  <si>
    <t>https://www.sigmajs.org</t>
  </si>
  <si>
    <t>https://www.sigmajs.org/demo/</t>
  </si>
  <si>
    <t>https://github.com/jacomyal/sigma.js</t>
  </si>
  <si>
    <t>vis-network</t>
  </si>
  <si>
    <t>動態力導向網路圖</t>
  </si>
  <si>
    <t>知識圖譜、組織關係</t>
  </si>
  <si>
    <t>https://visjs.github.io/vis-network/examples/</t>
  </si>
  <si>
    <t>https://github.com/visjs/vis-network</t>
  </si>
  <si>
    <t>vis-timeline</t>
  </si>
  <si>
    <t>可縮放互動時間軸</t>
  </si>
  <si>
    <t>排程、事件軸</t>
  </si>
  <si>
    <t>(Apache-2.0 OR MIT)</t>
  </si>
  <si>
    <t>https://visjs.github.io/vis-timeline/examples/timeline/</t>
  </si>
  <si>
    <t>https://github.com/visjs/vis-timeline</t>
  </si>
  <si>
    <t>force-graph</t>
  </si>
  <si>
    <t>2D 力導向圖（Canvas）</t>
  </si>
  <si>
    <t>關係網</t>
  </si>
  <si>
    <t>https://github.com/vasturiano/force-graph</t>
  </si>
  <si>
    <t>https://vasturiano.github.io/force-graph/</t>
  </si>
  <si>
    <t>3d-force-graph</t>
  </si>
  <si>
    <t>3D 力導向圖（Three.js）</t>
  </si>
  <si>
    <t>3D 知識圖譜</t>
  </si>
  <si>
    <t>https://github.com/vasturiano/3d-force-graph</t>
  </si>
  <si>
    <t>https://vasturiano.github.io/3d-force-graph/</t>
  </si>
  <si>
    <t>AntV G6</t>
  </si>
  <si>
    <t>圖分析與圖編輯引擎</t>
  </si>
  <si>
    <t>組織圖、風控網路</t>
  </si>
  <si>
    <t>https://g6.antv.antgroup.com</t>
  </si>
  <si>
    <t>https://g6.antv.antgroup.com/examples</t>
  </si>
  <si>
    <t>https://github.com/antvis/G6</t>
  </si>
  <si>
    <t>12 流程圖、心智圖、白板與行事曆</t>
  </si>
  <si>
    <t>Mermaid</t>
  </si>
  <si>
    <t>用文字語法畫流程圖、時序圖、甘特圖</t>
  </si>
  <si>
    <t>文件圖解、技術說明</t>
  </si>
  <si>
    <t>https://mermaid.js.org</t>
  </si>
  <si>
    <t>https://mermaid.live</t>
  </si>
  <si>
    <t>https://github.com/mermaid-js/mermaid</t>
  </si>
  <si>
    <t>markmap</t>
  </si>
  <si>
    <t>Markdown 轉互動心智圖</t>
  </si>
  <si>
    <t>課程大綱心智圖</t>
  </si>
  <si>
    <t>2026-09-12</t>
  </si>
  <si>
    <t>https://markmap.js.org</t>
  </si>
  <si>
    <t>https://markmap.js.org/repl</t>
  </si>
  <si>
    <t>https://github.com/markmap/markmap</t>
  </si>
  <si>
    <t>Mind Elixir</t>
  </si>
  <si>
    <t>可編輯心智圖</t>
  </si>
  <si>
    <t>線上腦力激盪</t>
  </si>
  <si>
    <t>https://mind-elixir.com</t>
  </si>
  <si>
    <t>https://app.mind-elixir.com/en</t>
  </si>
  <si>
    <t>https://github.com/SSShooter/mind-elixir-core</t>
  </si>
  <si>
    <t>jsMind</t>
  </si>
  <si>
    <t>心智圖</t>
  </si>
  <si>
    <t>心智圖展示與編輯</t>
  </si>
  <si>
    <t>2026-05-18</t>
  </si>
  <si>
    <t>https://github.com/hizzgdev/jsmind</t>
  </si>
  <si>
    <t>https://hizzgdev.github.io/jsmind/example/demo.html</t>
  </si>
  <si>
    <t>React Flow（xyflow）</t>
  </si>
  <si>
    <t>節點式流程編輯器</t>
  </si>
  <si>
    <t>工作流編輯、AI 流程圖</t>
  </si>
  <si>
    <t>React／Svelte</t>
  </si>
  <si>
    <t>https://reactflow.dev</t>
  </si>
  <si>
    <t>https://reactflow.dev/examples</t>
  </si>
  <si>
    <t>https://github.com/xyflow/xyflow</t>
  </si>
  <si>
    <t>Drawflow</t>
  </si>
  <si>
    <t>原生 JS 節點流程編輯器</t>
  </si>
  <si>
    <t>簡易 No-code 流程</t>
  </si>
  <si>
    <t>2024-10-19</t>
  </si>
  <si>
    <t>https://github.com/jerosoler/Drawflow</t>
  </si>
  <si>
    <t>https://jerosoler.github.io/Drawflow/</t>
  </si>
  <si>
    <t>LiteGraph.js</t>
  </si>
  <si>
    <t>節點圖編輯器（ComfyUI 前端的基礎）</t>
  </si>
  <si>
    <t>類 ComfyUI 節點介面</t>
  </si>
  <si>
    <t>2024-08-01</t>
  </si>
  <si>
    <t>https://github.com/jagenjo/litegraph.js</t>
  </si>
  <si>
    <t>https://tamats.com/projects/litegraph/editor/</t>
  </si>
  <si>
    <t>Rete.js</t>
  </si>
  <si>
    <t>視覺化程式設計節點框架</t>
  </si>
  <si>
    <t>節點編輯器</t>
  </si>
  <si>
    <t>https://retejs.org</t>
  </si>
  <si>
    <t>https://retejs.org/examples</t>
  </si>
  <si>
    <t>https://github.com/retejs/rete</t>
  </si>
  <si>
    <t>JointJS</t>
  </si>
  <si>
    <t>圖表與流程圖框架</t>
  </si>
  <si>
    <t>BPMN、組織圖</t>
  </si>
  <si>
    <t>https://www.jointjs.com</t>
  </si>
  <si>
    <t>https://www.jointjs.com/demos</t>
  </si>
  <si>
    <t>https://github.com/clientIO/joint</t>
  </si>
  <si>
    <t>GoJS</t>
  </si>
  <si>
    <t>家族樹、流程圖</t>
  </si>
  <si>
    <t>商用授權（評估版有浮水印）</t>
  </si>
  <si>
    <t>https://gojs.net</t>
  </si>
  <si>
    <t>https://gojs.net/latest/samples/</t>
  </si>
  <si>
    <t>https://github.com/NorthwoodsSoftware/GoJS</t>
  </si>
  <si>
    <t>bpmn-js</t>
  </si>
  <si>
    <t>BPMN 2.0 流程建模</t>
  </si>
  <si>
    <t>企業流程圖</t>
  </si>
  <si>
    <t>bpmn.io 授權（需保留浮水印）</t>
  </si>
  <si>
    <t>https://bpmn.io/toolkit/bpmn-js/</t>
  </si>
  <si>
    <t>https://demo.bpmn.io</t>
  </si>
  <si>
    <t>https://github.com/bpmn-io/bpmn-js</t>
  </si>
  <si>
    <t>Excalidraw</t>
  </si>
  <si>
    <t>手繪風白板，可嵌入 React</t>
  </si>
  <si>
    <t>協作白板、草圖</t>
  </si>
  <si>
    <t>https://excalidraw.com</t>
  </si>
  <si>
    <t>https://github.com/excalidraw/excalidraw</t>
  </si>
  <si>
    <t>tldraw</t>
  </si>
  <si>
    <t>無限畫布白板 SDK</t>
  </si>
  <si>
    <t>白板、AI 畫布應用</t>
  </si>
  <si>
    <t>tldraw 授權（正式上線需授權金鑰）</t>
  </si>
  <si>
    <t>https://tldraw.dev</t>
  </si>
  <si>
    <t>https://tldraw.dev/examples</t>
  </si>
  <si>
    <t>https://github.com/tldraw/tldraw</t>
  </si>
  <si>
    <t>Frappe Gantt</t>
  </si>
  <si>
    <t>簡易甘特圖</t>
  </si>
  <si>
    <t>專案時程</t>
  </si>
  <si>
    <t>2026-06-18</t>
  </si>
  <si>
    <t>https://frappe.io/gantt</t>
  </si>
  <si>
    <t>https://github.com/frappe/gantt</t>
  </si>
  <si>
    <t>FullCalendar</t>
  </si>
  <si>
    <t>完整行事曆</t>
  </si>
  <si>
    <t>課表、預約系統</t>
  </si>
  <si>
    <t>2026-09-05</t>
  </si>
  <si>
    <t>https://fullcalendar.io</t>
  </si>
  <si>
    <t>https://fullcalendar.io/demos</t>
  </si>
  <si>
    <t>https://github.com/fullcalendar/fullcalendar</t>
  </si>
  <si>
    <t>nomnoml</t>
  </si>
  <si>
    <t>用文字畫 UML</t>
  </si>
  <si>
    <t>類別圖、架構圖</t>
  </si>
  <si>
    <t>2026-08-19</t>
  </si>
  <si>
    <t>https://www.nomnoml.com</t>
  </si>
  <si>
    <t>https://github.com/skanaar/nomnoml</t>
  </si>
  <si>
    <t>Viz.js</t>
  </si>
  <si>
    <t>在瀏覽器執行 Graphviz</t>
  </si>
  <si>
    <t>DOT 語言關係圖</t>
  </si>
  <si>
    <t>https://viz-js.com</t>
  </si>
  <si>
    <t>https://github.com/mdaines/viz-js</t>
  </si>
  <si>
    <t>13 地圖與地理資訊</t>
  </si>
  <si>
    <t>Leaflet</t>
  </si>
  <si>
    <t>最輕量的主流互動地圖</t>
  </si>
  <si>
    <t>店家地圖、標記、路線</t>
  </si>
  <si>
    <t>https://leafletjs.com</t>
  </si>
  <si>
    <t>https://leafletjs.com/examples.html</t>
  </si>
  <si>
    <t>https://github.com/Leaflet/Leaflet</t>
  </si>
  <si>
    <t>MapLibre GL JS</t>
  </si>
  <si>
    <t>開源向量地圖（3D 傾斜、自訂樣式）</t>
  </si>
  <si>
    <t>3D 建築地圖、客製底圖</t>
  </si>
  <si>
    <t>https://maplibre.org</t>
  </si>
  <si>
    <t>https://maplibre.org/maplibre-gl-js/docs/examples/</t>
  </si>
  <si>
    <t>https://github.com/maplibre/maplibre-gl-js</t>
  </si>
  <si>
    <t>Mapbox GL JS</t>
  </si>
  <si>
    <t>商業向量地圖</t>
  </si>
  <si>
    <t>精美地圖、導航</t>
  </si>
  <si>
    <t>需 Mapbox 帳號與 token，超量計費</t>
  </si>
  <si>
    <t>https://www.mapbox.com/mapbox-gljs</t>
  </si>
  <si>
    <t>https://docs.mapbox.com/mapbox-gl-js/example/</t>
  </si>
  <si>
    <t>https://github.com/mapbox/mapbox-gl-js</t>
  </si>
  <si>
    <t>OpenLayers</t>
  </si>
  <si>
    <t>專業 GIS 地圖</t>
  </si>
  <si>
    <t>圖資疊圖、WMS 圖層</t>
  </si>
  <si>
    <t>2026-09-26</t>
  </si>
  <si>
    <t>https://openlayers.org</t>
  </si>
  <si>
    <t>https://openlayers.org/en/latest/examples/</t>
  </si>
  <si>
    <t>https://github.com/openlayers/openlayers</t>
  </si>
  <si>
    <t>Google Maps JavaScript API</t>
  </si>
  <si>
    <t>Google 地圖</t>
  </si>
  <si>
    <t>地點搜尋、街景、路線規劃</t>
  </si>
  <si>
    <t>需 API 金鑰，依用量計費</t>
  </si>
  <si>
    <t>2026-06-24</t>
  </si>
  <si>
    <t>https://developers.google.com/maps/documentation/javascript</t>
  </si>
  <si>
    <t>https://developers.google.com/maps/documentation/javascript/examples</t>
  </si>
  <si>
    <t>https://github.com/googlemaps/js-samples</t>
  </si>
  <si>
    <t>Globe.gl</t>
  </si>
  <si>
    <t>Three.js 3D 地球資料視覺化</t>
  </si>
  <si>
    <t>航線、國家資料地球</t>
  </si>
  <si>
    <t>2026-08-22</t>
  </si>
  <si>
    <t>https://globe.gl</t>
  </si>
  <si>
    <t>https://github.com/vasturiano/globe.gl</t>
  </si>
  <si>
    <t>deck.gl</t>
  </si>
  <si>
    <t>大規模 GPU 地理資料視覺化</t>
  </si>
  <si>
    <t>百萬點地圖、3D 城市資料</t>
  </si>
  <si>
    <t>https://deck.gl</t>
  </si>
  <si>
    <t>https://deck.gl/examples</t>
  </si>
  <si>
    <t>https://github.com/visgl/deck.gl</t>
  </si>
  <si>
    <t>kepler.gl</t>
  </si>
  <si>
    <t>大數據地理分析工具（可嵌入）</t>
  </si>
  <si>
    <t>軌跡、熱區分析</t>
  </si>
  <si>
    <t>https://kepler.gl</t>
  </si>
  <si>
    <t>https://kepler.gl/demo</t>
  </si>
  <si>
    <t>https://github.com/keplergl/kepler.gl</t>
  </si>
  <si>
    <t>Turf.js</t>
  </si>
  <si>
    <t>地理空間運算（距離、面積、緩衝區）</t>
  </si>
  <si>
    <t>範圍分析、最近據點</t>
  </si>
  <si>
    <t>https://turfjs.org</t>
  </si>
  <si>
    <t>https://github.com/Turfjs/turf</t>
  </si>
  <si>
    <t>ArcGIS Maps SDK for JavaScript</t>
  </si>
  <si>
    <t>Esri 專業 GIS 平台</t>
  </si>
  <si>
    <t>政府圖資、3D 場景</t>
  </si>
  <si>
    <t>需 ArcGIS 帳號</t>
  </si>
  <si>
    <t>2026-07-08</t>
  </si>
  <si>
    <t>https://developers.arcgis.com/javascript/latest/</t>
  </si>
  <si>
    <t>https://developers.arcgis.com/javascript/latest/sample-code/</t>
  </si>
  <si>
    <t>https://github.com/Esri/jsapi-resources</t>
  </si>
  <si>
    <t>AntV L7</t>
  </si>
  <si>
    <t>地理空間視覺化引擎</t>
  </si>
  <si>
    <t>數據大屏地圖</t>
  </si>
  <si>
    <t>https://l7.antv.antgroup.com</t>
  </si>
  <si>
    <t>https://l7.antv.antgroup.com/examples</t>
  </si>
  <si>
    <t>https://github.com/antvis/L7</t>
  </si>
  <si>
    <t>14 音訊與音樂</t>
  </si>
  <si>
    <t>Tone.js</t>
  </si>
  <si>
    <t>瀏覽器音樂合成框架（合成器、節奏、效果器）</t>
  </si>
  <si>
    <t>互動樂器、節拍器、生成音樂</t>
  </si>
  <si>
    <t>https://tonejs.github.io</t>
  </si>
  <si>
    <t>https://tonejs.github.io/examples/</t>
  </si>
  <si>
    <t>https://github.com/Tonejs/Tone.js</t>
  </si>
  <si>
    <t>Howler.js</t>
  </si>
  <si>
    <t>跨瀏覽器音效播放管理</t>
  </si>
  <si>
    <t>遊戲音效、背景音樂</t>
  </si>
  <si>
    <t>2025-11-23</t>
  </si>
  <si>
    <t>https://howlerjs.com</t>
  </si>
  <si>
    <t>https://github.com/goldfire/howler.js</t>
  </si>
  <si>
    <t>p5.sound</t>
  </si>
  <si>
    <t>p5.js 官方音訊擴充</t>
  </si>
  <si>
    <t>聲音視覺化、麥克風互動</t>
  </si>
  <si>
    <t>2025-09-05</t>
  </si>
  <si>
    <t>https://p5js.org/reference/p5.sound/</t>
  </si>
  <si>
    <t>https://github.com/processing/p5.js-sound</t>
  </si>
  <si>
    <t>wavesurfer.js</t>
  </si>
  <si>
    <t>音訊波形顯示與播放</t>
  </si>
  <si>
    <t>Podcast 播放器、剪輯標記</t>
  </si>
  <si>
    <t>https://wavesurfer.xyz</t>
  </si>
  <si>
    <t>https://wavesurfer.xyz/examples/</t>
  </si>
  <si>
    <t>https://github.com/katspaugh/wavesurfer.js</t>
  </si>
  <si>
    <t>Strudel</t>
  </si>
  <si>
    <t>瀏覽器 Live Coding 音樂（TidalCycles 的 JS 版）</t>
  </si>
  <si>
    <t>即興電音演出</t>
  </si>
  <si>
    <t>網頁工具</t>
  </si>
  <si>
    <t>https://strudel.cc</t>
  </si>
  <si>
    <t>https://strudel.cc/workshop/getting-started/</t>
  </si>
  <si>
    <t>https://codeberg.org/uzu/strudel</t>
  </si>
  <si>
    <t>Meyda</t>
  </si>
  <si>
    <t>音訊特徵擷取（音量、頻譜、音色）</t>
  </si>
  <si>
    <t>聲音驅動視覺</t>
  </si>
  <si>
    <t>2024-07-15</t>
  </si>
  <si>
    <t>https://meyda.js.org</t>
  </si>
  <si>
    <t>https://github.com/meyda/meyda</t>
  </si>
  <si>
    <t>audioMotion-analyzer</t>
  </si>
  <si>
    <t>高品質頻譜分析視覺化</t>
  </si>
  <si>
    <t>音樂頻譜</t>
  </si>
  <si>
    <t>2026-07-19</t>
  </si>
  <si>
    <t>https://audiomotion.dev</t>
  </si>
  <si>
    <t>https://audiomotion.dev/demo/</t>
  </si>
  <si>
    <t>https://github.com/hvianna/audioMotion-analyzer</t>
  </si>
  <si>
    <t>Butterchurn</t>
  </si>
  <si>
    <t>Winamp Milkdrop 音樂視覺化的 WebGL 版</t>
  </si>
  <si>
    <t>迷幻音樂視覺</t>
  </si>
  <si>
    <t>2026-04-20</t>
  </si>
  <si>
    <t>https://butterchurnviz.com</t>
  </si>
  <si>
    <t>https://github.com/jberg/butterchurn</t>
  </si>
  <si>
    <t>Magenta.js</t>
  </si>
  <si>
    <t>Google AI 音樂生成</t>
  </si>
  <si>
    <t>AI 作曲、旋律接續</t>
  </si>
  <si>
    <t>2026-06-22</t>
  </si>
  <si>
    <t>https://magenta.tensorflow.org/js</t>
  </si>
  <si>
    <t>https://magenta.tensorflow.org/demos</t>
  </si>
  <si>
    <t>https://github.com/magenta/magenta-js</t>
  </si>
  <si>
    <t>abcjs</t>
  </si>
  <si>
    <t>ABC 記譜法轉樂譜並播放</t>
  </si>
  <si>
    <t>線上樂譜教學</t>
  </si>
  <si>
    <t>https://www.abcjs.net</t>
  </si>
  <si>
    <t>https://www.abcjs.net/abcjs-editor.html</t>
  </si>
  <si>
    <t>https://github.com/paulrosen/abcjs</t>
  </si>
  <si>
    <t>VexFlow</t>
  </si>
  <si>
    <t>五線譜與吉他譜渲染</t>
  </si>
  <si>
    <t>樂理教學</t>
  </si>
  <si>
    <t>https://www.vexflow.com</t>
  </si>
  <si>
    <t>https://github.com/vexflow/vexflow</t>
  </si>
  <si>
    <t>OpenSheetMusicDisplay</t>
  </si>
  <si>
    <t>MusicXML 樂譜顯示</t>
  </si>
  <si>
    <t>樂譜播放器</t>
  </si>
  <si>
    <t>https://opensheetmusicdisplay.org</t>
  </si>
  <si>
    <t>https://opensheetmusicdisplay.github.io/demo/</t>
  </si>
  <si>
    <t>https://github.com/opensheetmusicdisplay/opensheetmusicdisplay</t>
  </si>
  <si>
    <t>WebMidi.js</t>
  </si>
  <si>
    <t>連接 MIDI 鍵盤與控制器</t>
  </si>
  <si>
    <t>MIDI 鍵盤驅動視覺</t>
  </si>
  <si>
    <t>https://webmidijs.org</t>
  </si>
  <si>
    <t>https://github.com/djipco/webmidi</t>
  </si>
  <si>
    <t>Tonal</t>
  </si>
  <si>
    <t>樂理運算（音階、和弦、調性）</t>
  </si>
  <si>
    <t>和弦教學工具</t>
  </si>
  <si>
    <t>https://github.com/tonaljs/tonal</t>
  </si>
  <si>
    <t>https://tonaljs.github.io/tonal/docs</t>
  </si>
  <si>
    <t>Pizzicato.js</t>
  </si>
  <si>
    <t>簡易音效與濾鏡</t>
  </si>
  <si>
    <t>音效實驗</t>
  </si>
  <si>
    <t>2025-07-09</t>
  </si>
  <si>
    <t>https://alemangui.github.io/pizzicato/</t>
  </si>
  <si>
    <t>https://github.com/alemangui/pizzicato</t>
  </si>
  <si>
    <t>Gibber</t>
  </si>
  <si>
    <t>音樂加視覺的 Live Coding 環境</t>
  </si>
  <si>
    <t>演出、教學</t>
  </si>
  <si>
    <t>2024-09-17</t>
  </si>
  <si>
    <t>https://gibber.cc</t>
  </si>
  <si>
    <t>https://github.com/gibber-cc/gibber</t>
  </si>
  <si>
    <t>15 AI 與機器學習</t>
  </si>
  <si>
    <t>ml5.js</t>
  </si>
  <si>
    <t>友善的瀏覽器機器學習，專為搭配 p5.js 設計</t>
  </si>
  <si>
    <t>姿勢偵測、手勢、影像分類互動藝術</t>
  </si>
  <si>
    <t>https://ml5js.org</t>
  </si>
  <si>
    <t>https://editor.p5js.org/ml5/sketches</t>
  </si>
  <si>
    <t>https://github.com/ml5js/ml5-next-gen</t>
  </si>
  <si>
    <t>TensorFlow.js</t>
  </si>
  <si>
    <t>Google 瀏覽器與 Node 機器學習框架</t>
  </si>
  <si>
    <t>訓練與推論模型</t>
  </si>
  <si>
    <t>2026-06-23</t>
  </si>
  <si>
    <t>https://www.tensorflow.org/js</t>
  </si>
  <si>
    <t>https://www.tensorflow.org/js/demos</t>
  </si>
  <si>
    <t>https://github.com/tensorflow/tfjs</t>
  </si>
  <si>
    <t>Transformers.js</t>
  </si>
  <si>
    <t>Hugging Face 模型直接在瀏覽器執行（支援 WebGPU）</t>
  </si>
  <si>
    <t>語音轉文字、翻譯、情緒分析、去背</t>
  </si>
  <si>
    <t>https://huggingface.co/docs/transformers.js</t>
  </si>
  <si>
    <t>https://github.com/huggingface/transformers.js-examples</t>
  </si>
  <si>
    <t>https://github.com/huggingface/transformers.js</t>
  </si>
  <si>
    <t>ONNX Runtime Web</t>
  </si>
  <si>
    <t>瀏覽器執行 ONNX 模型（WebGPU／WASM）</t>
  </si>
  <si>
    <t>自訂模型部署</t>
  </si>
  <si>
    <t>https://onnxruntime.ai/docs/tutorials/web/</t>
  </si>
  <si>
    <t>https://github.com/microsoft/onnxruntime-inference-examples</t>
  </si>
  <si>
    <t>https://github.com/microsoft/onnxruntime</t>
  </si>
  <si>
    <t>WebLLM</t>
  </si>
  <si>
    <t>用 WebGPU 在瀏覽器跑大型語言模型</t>
  </si>
  <si>
    <t>離線聊天機器人</t>
  </si>
  <si>
    <t>https://webllm.mlc.ai</t>
  </si>
  <si>
    <t>https://chat.webllm.ai</t>
  </si>
  <si>
    <t>https://github.com/mlc-ai/web-llm</t>
  </si>
  <si>
    <t>Brain.js</t>
  </si>
  <si>
    <t>簡單易懂的神經網路</t>
  </si>
  <si>
    <t>入門機器學習教學</t>
  </si>
  <si>
    <t>2024-09-26</t>
  </si>
  <si>
    <t>https://brain.js.org</t>
  </si>
  <si>
    <t>https://github.com/BrainJS/brain.js</t>
  </si>
  <si>
    <t>Teachable Machine</t>
  </si>
  <si>
    <t>Google 無程式訓練模型，可匯出 TF.js</t>
  </si>
  <si>
    <t>自訓手勢、聲音、姿勢分類</t>
  </si>
  <si>
    <t>2026-06-19</t>
  </si>
  <si>
    <t>https://teachablemachine.withgoogle.com</t>
  </si>
  <si>
    <t>https://github.com/googlecreativelab/teachablemachine-community</t>
  </si>
  <si>
    <t>Tesseract.js</t>
  </si>
  <si>
    <t>瀏覽器 OCR 文字辨識（支援繁中）</t>
  </si>
  <si>
    <t>圖片轉文字、名片辨識</t>
  </si>
  <si>
    <t>2026-05-17</t>
  </si>
  <si>
    <t>https://tesseract.projectnaptha.com</t>
  </si>
  <si>
    <t>https://github.com/naptha/tesseract.js</t>
  </si>
  <si>
    <t>compromise</t>
  </si>
  <si>
    <t>輕量英文自然語言處理</t>
  </si>
  <si>
    <t>詞性、句子分析</t>
  </si>
  <si>
    <t>https://work.spencermountain.dev/compromise/</t>
  </si>
  <si>
    <t>https://github.com/spencermountain/compromise</t>
  </si>
  <si>
    <t>Anthropic TypeScript SDK</t>
  </si>
  <si>
    <t>呼叫 Claude API 的官方 SDK</t>
  </si>
  <si>
    <t>網頁內 AI 對話、內容生成</t>
  </si>
  <si>
    <t>Node.js／原生 JS</t>
  </si>
  <si>
    <t>https://platform.claude.com/docs/en/cli-sdks-libraries/overview</t>
  </si>
  <si>
    <t>https://github.com/anthropics/anthropic-sdk-typescript/tree/main/examples</t>
  </si>
  <si>
    <t>https://github.com/anthropics/anthropic-sdk-typescript</t>
  </si>
  <si>
    <t>需 Claude API 金鑰，金鑰不可放在前端網頁</t>
  </si>
  <si>
    <t>Vercel AI SDK</t>
  </si>
  <si>
    <t>串接多家 LLM 的 TypeScript 工具組（串流聊天 UI）</t>
  </si>
  <si>
    <t>AI 聊天介面、工具呼叫</t>
  </si>
  <si>
    <t>React／Vue／Svelte</t>
  </si>
  <si>
    <t>https://ai-sdk.dev</t>
  </si>
  <si>
    <t>https://github.com/vercel/ai</t>
  </si>
  <si>
    <t>需各家 LLM 的 API 金鑰與後端</t>
  </si>
  <si>
    <t>LangChain.js</t>
  </si>
  <si>
    <t>LLM 應用框架（RAG、Agent）</t>
  </si>
  <si>
    <t>知識庫問答、AI 代理</t>
  </si>
  <si>
    <t>https://docs.langchain.com/oss/javascript/langchain/overview</t>
  </si>
  <si>
    <t>https://github.com/langchain-ai/langchainjs</t>
  </si>
  <si>
    <t>需 LLM API 金鑰與後端</t>
  </si>
  <si>
    <t>16 電腦視覺與 AR／VR</t>
  </si>
  <si>
    <t>MediaPipe</t>
  </si>
  <si>
    <t>Google 即時手部、臉部、姿勢、物件偵測</t>
  </si>
  <si>
    <t>手勢控制、臉部濾鏡、健身姿勢</t>
  </si>
  <si>
    <t>https://developers.google.com/edge/mediapipe/solutions/guide</t>
  </si>
  <si>
    <t>https://developers.google.com/edge/mediapipe/solutions/vision/hand_landmarker</t>
  </si>
  <si>
    <t>https://github.com/google-ai-edge/mediapipe</t>
  </si>
  <si>
    <t>Human</t>
  </si>
  <si>
    <t>臉部、身體、手勢、情緒一站式偵測</t>
  </si>
  <si>
    <t>情緒辨識互動</t>
  </si>
  <si>
    <t>2025-12-13</t>
  </si>
  <si>
    <t>https://github.com/vladmandic/human</t>
  </si>
  <si>
    <t>https://vladmandic.github.io/human/samples/index.html</t>
  </si>
  <si>
    <t>OpenCV.js</t>
  </si>
  <si>
    <t>OpenCV 的 WASM 版</t>
  </si>
  <si>
    <t>影像處理、輪廓偵測</t>
  </si>
  <si>
    <t>https://docs.opencv.org/4.x/d5/d10/tutorial_js_root.html</t>
  </si>
  <si>
    <t>https://github.com/opencv/opencv</t>
  </si>
  <si>
    <t>MindAR</t>
  </si>
  <si>
    <t>圖片追蹤與臉部追蹤 WebAR</t>
  </si>
  <si>
    <t>名片 AR、臉部貼紙</t>
  </si>
  <si>
    <t>原生 JS／A-Frame</t>
  </si>
  <si>
    <t>2024-06-11</t>
  </si>
  <si>
    <t>https://hiukim.github.io/mind-ar-js-doc/</t>
  </si>
  <si>
    <t>https://hiukim.github.io/mind-ar-js-doc/examples/summary</t>
  </si>
  <si>
    <t>https://github.com/hiukim/mind-ar-js</t>
  </si>
  <si>
    <t>AR.js</t>
  </si>
  <si>
    <t>標記、圖片與定位 AR</t>
  </si>
  <si>
    <t>標記卡 AR、定位 AR</t>
  </si>
  <si>
    <t>2026-06-21</t>
  </si>
  <si>
    <t>https://ar-js-org.github.io/AR.js-Docs/</t>
  </si>
  <si>
    <t>https://github.com/AR-js-org/AR.js</t>
  </si>
  <si>
    <t>WebXR Samples</t>
  </si>
  <si>
    <t>W3C 官方 WebXR（VR／AR）範例</t>
  </si>
  <si>
    <t>VR 頭盔體驗、手機 AR</t>
  </si>
  <si>
    <t>2026-09-10</t>
  </si>
  <si>
    <t>https://immersive-web.github.io/webxr-samples/</t>
  </si>
  <si>
    <t>https://github.com/immersive-web/webxr-samples</t>
  </si>
  <si>
    <t>17 影片製作與媒體處理</t>
  </si>
  <si>
    <t>Remotion</t>
  </si>
  <si>
    <t>用 React 寫程式產生 MP4 影片</t>
  </si>
  <si>
    <t>數據影片、社群短片自動化</t>
  </si>
  <si>
    <t>個人與 3 人以下公司免費，其餘需授權</t>
  </si>
  <si>
    <t>https://www.remotion.dev</t>
  </si>
  <si>
    <t>https://www.remotion.dev/showcase</t>
  </si>
  <si>
    <t>https://github.com/remotion-dev/remotion</t>
  </si>
  <si>
    <t>Motion Canvas</t>
  </si>
  <si>
    <t>TypeScript 程式化動畫影片，附即時編輯器</t>
  </si>
  <si>
    <t>教學解說影片</t>
  </si>
  <si>
    <t>TypeScript</t>
  </si>
  <si>
    <t>https://motioncanvas.io</t>
  </si>
  <si>
    <t>https://github.com/motion-canvas/motion-canvas</t>
  </si>
  <si>
    <t>Revideo</t>
  </si>
  <si>
    <t>Motion Canvas 分支，著重自動化批次產片</t>
  </si>
  <si>
    <t>API 批次產影片</t>
  </si>
  <si>
    <t>2026-07-15</t>
  </si>
  <si>
    <t>https://midrender.com/revideo</t>
  </si>
  <si>
    <t>https://github.com/midrender/revideo</t>
  </si>
  <si>
    <t>FFmpeg.wasm</t>
  </si>
  <si>
    <t>在瀏覽器內執行 FFmpeg</t>
  </si>
  <si>
    <t>轉檔、剪輯、壓縮</t>
  </si>
  <si>
    <t>https://ffmpegwasm.netlify.app</t>
  </si>
  <si>
    <t>https://ffmpegwasm.netlify.app/playground</t>
  </si>
  <si>
    <t>https://github.com/ffmpegwasm/ffmpeg.wasm</t>
  </si>
  <si>
    <t>Mediabunny</t>
  </si>
  <si>
    <t>純 JS 影音讀寫與轉檔（WebCodecs）</t>
  </si>
  <si>
    <t>Canvas 動畫匯出 MP4</t>
  </si>
  <si>
    <t>https://mediabunny.dev</t>
  </si>
  <si>
    <t>https://github.com/Vanilagy/mediabunny</t>
  </si>
  <si>
    <t>CCapture.js</t>
  </si>
  <si>
    <t>逐格錄製 Canvas 動畫</t>
  </si>
  <si>
    <t>輸出穩定影格率動畫</t>
  </si>
  <si>
    <t>2026-07-27</t>
  </si>
  <si>
    <t>https://github.com/spite/ccapture.js</t>
  </si>
  <si>
    <t>gif.js</t>
  </si>
  <si>
    <t>在瀏覽器產生 GIF</t>
  </si>
  <si>
    <t>動畫轉 GIF</t>
  </si>
  <si>
    <t>2023-10-06</t>
  </si>
  <si>
    <t>https://jnordberg.github.io/gif.js/</t>
  </si>
  <si>
    <t>https://github.com/jnordberg/gif.js</t>
  </si>
  <si>
    <t>Video.js</t>
  </si>
  <si>
    <t>可自訂外觀的影片播放器</t>
  </si>
  <si>
    <t>課程影片播放</t>
  </si>
  <si>
    <t>https://videojs.org</t>
  </si>
  <si>
    <t>https://github.com/videojs/video.js</t>
  </si>
  <si>
    <t>Plyr</t>
  </si>
  <si>
    <t>簡潔美觀播放器（支援 YouTube、Vimeo）</t>
  </si>
  <si>
    <t>影片嵌入</t>
  </si>
  <si>
    <t>https://plyr.io</t>
  </si>
  <si>
    <t>https://github.com/sampotts/plyr</t>
  </si>
  <si>
    <t>hls.js</t>
  </si>
  <si>
    <t>播放 HLS 串流</t>
  </si>
  <si>
    <t>直播串流</t>
  </si>
  <si>
    <t>https://github.com/video-dev/hls.js</t>
  </si>
  <si>
    <t>https://hlsjs.video-dev.org/demo/</t>
  </si>
  <si>
    <t>html2canvas</t>
  </si>
  <si>
    <t>把網頁區塊截成圖片</t>
  </si>
  <si>
    <t>分享卡片、截圖下載</t>
  </si>
  <si>
    <t>2024-07-18</t>
  </si>
  <si>
    <t>https://html2canvas.hertzen.com</t>
  </si>
  <si>
    <t>https://github.com/niklasvh/html2canvas</t>
  </si>
  <si>
    <t>html-to-image</t>
  </si>
  <si>
    <t>DOM 轉 PNG、JPG、SVG</t>
  </si>
  <si>
    <t>證書、分享圖下載</t>
  </si>
  <si>
    <t>https://github.com/bubkoo/html-to-image</t>
  </si>
  <si>
    <t>18 圖片、全景與相簿</t>
  </si>
  <si>
    <t>Cropper.js</t>
  </si>
  <si>
    <t>圖片裁切</t>
  </si>
  <si>
    <t>大頭貼裁切</t>
  </si>
  <si>
    <t>2026-09-13</t>
  </si>
  <si>
    <t>https://fengyuanchen.github.io/cropperjs/</t>
  </si>
  <si>
    <t>https://github.com/fengyuanchen/cropperjs</t>
  </si>
  <si>
    <t>glfx.js</t>
  </si>
  <si>
    <t>WebGL 圖片濾鏡</t>
  </si>
  <si>
    <t>即時濾鏡、變形</t>
  </si>
  <si>
    <t>2023-10-23</t>
  </si>
  <si>
    <t>https://evanw.github.io/glfx.js/</t>
  </si>
  <si>
    <t>https://evanw.github.io/glfx.js/demo/</t>
  </si>
  <si>
    <t>https://github.com/evanw/glfx.js</t>
  </si>
  <si>
    <t>Filerobot Image Editor</t>
  </si>
  <si>
    <t>完整的網頁圖片編輯器</t>
  </si>
  <si>
    <t>線上修圖、加字、濾鏡</t>
  </si>
  <si>
    <t>2026-06-16</t>
  </si>
  <si>
    <t>https://github.com/scaleflex/filerobot-image-editor</t>
  </si>
  <si>
    <t>https://scaleflex.github.io/filerobot-image-editor/</t>
  </si>
  <si>
    <t>Photo Sphere Viewer</t>
  </si>
  <si>
    <t>360 度全景照片瀏覽</t>
  </si>
  <si>
    <t>虛擬導覽、看屋</t>
  </si>
  <si>
    <t>2026-09-17</t>
  </si>
  <si>
    <t>https://photo-sphere-viewer.js.org</t>
  </si>
  <si>
    <t>https://photo-sphere-viewer.js.org/demos/</t>
  </si>
  <si>
    <t>https://github.com/mistic100/Photo-Sphere-Viewer</t>
  </si>
  <si>
    <t>Pannellum</t>
  </si>
  <si>
    <t>輕量全景瀏覽器</t>
  </si>
  <si>
    <t>360 導覽</t>
  </si>
  <si>
    <t>2026-07-12</t>
  </si>
  <si>
    <t>https://pannellum.org</t>
  </si>
  <si>
    <t>https://pannellum.org/documentation/examples/simple-example/</t>
  </si>
  <si>
    <t>https://github.com/mpetroff/pannellum</t>
  </si>
  <si>
    <t>Marzipano</t>
  </si>
  <si>
    <t>Google 開源的 360 全景工具</t>
  </si>
  <si>
    <t>多場景導覽</t>
  </si>
  <si>
    <t>2023-10-08</t>
  </si>
  <si>
    <t>https://www.marzipano.net</t>
  </si>
  <si>
    <t>https://www.marzipano.net/demos.html</t>
  </si>
  <si>
    <t>https://github.com/google/marzipano</t>
  </si>
  <si>
    <t>PhotoSwipe</t>
  </si>
  <si>
    <t>觸控相簿燈箱</t>
  </si>
  <si>
    <t>作品集相簿</t>
  </si>
  <si>
    <t>2025-12-04</t>
  </si>
  <si>
    <t>https://photoswipe.com</t>
  </si>
  <si>
    <t>https://github.com/dimsemenov/PhotoSwipe</t>
  </si>
  <si>
    <t>GLightbox</t>
  </si>
  <si>
    <t>輕量燈箱（圖片、影片）</t>
  </si>
  <si>
    <t>圖片放大檢視</t>
  </si>
  <si>
    <t>2025-12-02</t>
  </si>
  <si>
    <t>https://biati-digital.github.io/glightbox/</t>
  </si>
  <si>
    <t>https://github.com/biati-digital/glightbox</t>
  </si>
  <si>
    <t>Masonry</t>
  </si>
  <si>
    <t>瀑布流排版</t>
  </si>
  <si>
    <t>Pinterest 風相簿</t>
  </si>
  <si>
    <t>2024-06-07</t>
  </si>
  <si>
    <t>https://masonry.desandro.com</t>
  </si>
  <si>
    <t>https://github.com/desandro/masonry</t>
  </si>
  <si>
    <t>Isotope</t>
  </si>
  <si>
    <t>可篩選排序的動畫網格</t>
  </si>
  <si>
    <t>作品分類篩選</t>
  </si>
  <si>
    <t>2021-09-24</t>
  </si>
  <si>
    <t>https://isotope.metafizzy.co</t>
  </si>
  <si>
    <t>https://github.com/metafizzy/isotope</t>
  </si>
  <si>
    <t>Signature Pad</t>
  </si>
  <si>
    <t>手寫簽名板</t>
  </si>
  <si>
    <t>線上簽名、手寫輸入</t>
  </si>
  <si>
    <t>https://github.com/szimek/signature_pad</t>
  </si>
  <si>
    <t>https://szimek.github.io/signature_pad/</t>
  </si>
  <si>
    <t>img-comparison-slider</t>
  </si>
  <si>
    <t>前後對比滑桿</t>
  </si>
  <si>
    <t>修圖前後、AI 生圖對比</t>
  </si>
  <si>
    <t>2026-09-03</t>
  </si>
  <si>
    <t>https://img-comparison-slider.sneas.io</t>
  </si>
  <si>
    <t>https://github.com/sneas/img-comparison-slider</t>
  </si>
  <si>
    <t>19 文件與檔案產出</t>
  </si>
  <si>
    <t>PDF.js</t>
  </si>
  <si>
    <t>Mozilla 的 PDF 閱讀器</t>
  </si>
  <si>
    <t>網頁內看 PDF</t>
  </si>
  <si>
    <t>https://mozilla.github.io/pdf.js/</t>
  </si>
  <si>
    <t>https://mozilla.github.io/pdf.js/web/viewer.html</t>
  </si>
  <si>
    <t>https://github.com/mozilla/pdf.js</t>
  </si>
  <si>
    <t>jsPDF</t>
  </si>
  <si>
    <t>在瀏覽器產生 PDF</t>
  </si>
  <si>
    <t>證書、報表下載</t>
  </si>
  <si>
    <t>https://github.com/parallax/jsPDF</t>
  </si>
  <si>
    <t>https://raw.githack.com/MrRio/jsPDF/master/index.html</t>
  </si>
  <si>
    <t>pdf-lib</t>
  </si>
  <si>
    <t>建立與修改 PDF（填表、合併、加浮水印）</t>
  </si>
  <si>
    <t>PDF 表單填寫</t>
  </si>
  <si>
    <t>2024-07-17</t>
  </si>
  <si>
    <t>https://pdf-lib.js.org</t>
  </si>
  <si>
    <t>https://github.com/Hopding/pdf-lib</t>
  </si>
  <si>
    <t>SheetJS</t>
  </si>
  <si>
    <t>讀寫 Excel</t>
  </si>
  <si>
    <t>網頁匯入匯出 xlsx</t>
  </si>
  <si>
    <t>https://sheetjs.com</t>
  </si>
  <si>
    <t>https://docs.sheetjs.com/docs/demos/</t>
  </si>
  <si>
    <t>https://git.sheetjs.com/sheetjs/sheetjs</t>
  </si>
  <si>
    <t>ExcelJS</t>
  </si>
  <si>
    <t>讀寫含樣式的 Excel</t>
  </si>
  <si>
    <t>格式化報表</t>
  </si>
  <si>
    <t>原生 JS／Node.js</t>
  </si>
  <si>
    <t>2025-01-21</t>
  </si>
  <si>
    <t>https://github.com/exceljs/exceljs</t>
  </si>
  <si>
    <t>PptxGenJS</t>
  </si>
  <si>
    <t>用 JavaScript 產生 PowerPoint</t>
  </si>
  <si>
    <t>自動產簡報</t>
  </si>
  <si>
    <t>2025-11-28</t>
  </si>
  <si>
    <t>https://gitbrent.github.io/PptxGenJS/</t>
  </si>
  <si>
    <t>https://gitbrent.github.io/PptxGenJS/demos/</t>
  </si>
  <si>
    <t>https://github.com/gitbrent/PptxGenJS</t>
  </si>
  <si>
    <t>docx</t>
  </si>
  <si>
    <t>用 JavaScript 產生 Word 文件</t>
  </si>
  <si>
    <t>自動產合約、報告</t>
  </si>
  <si>
    <t>https://docx.js.org</t>
  </si>
  <si>
    <t>https://github.com/dolanmiu/docx</t>
  </si>
  <si>
    <t>PapaParse</t>
  </si>
  <si>
    <t>快速 CSV 解析</t>
  </si>
  <si>
    <t>匯入 CSV 名單</t>
  </si>
  <si>
    <t>2026-09-15</t>
  </si>
  <si>
    <t>https://www.papaparse.com</t>
  </si>
  <si>
    <t>https://www.papaparse.com/demo</t>
  </si>
  <si>
    <t>https://github.com/mholt/PapaParse</t>
  </si>
  <si>
    <t>qr-code-styling</t>
  </si>
  <si>
    <t>可客製樣式的 QR Code（Logo、圓點、漸層）</t>
  </si>
  <si>
    <t>活動報名 QR、名片</t>
  </si>
  <si>
    <t>2026-02-14</t>
  </si>
  <si>
    <t>https://qr-code-styling.com</t>
  </si>
  <si>
    <t>https://github.com/kozakdenys/qr-code-styling</t>
  </si>
  <si>
    <t>JsBarcode</t>
  </si>
  <si>
    <t>產生一維條碼</t>
  </si>
  <si>
    <t>票券、商品條碼</t>
  </si>
  <si>
    <t>https://lindell.me/JsBarcode/</t>
  </si>
  <si>
    <t>https://github.com/lindell/JsBarcode</t>
  </si>
  <si>
    <t>html5-qrcode</t>
  </si>
  <si>
    <t>用鏡頭掃描 QR Code 與條碼</t>
  </si>
  <si>
    <t>活動報到掃碼</t>
  </si>
  <si>
    <t>2025-12-01</t>
  </si>
  <si>
    <t>https://github.com/mebjas/html5-qrcode</t>
  </si>
  <si>
    <t>https://scanapp.org</t>
  </si>
  <si>
    <t>JSZip</t>
  </si>
  <si>
    <t>在瀏覽器打包 ZIP</t>
  </si>
  <si>
    <t>批次下載</t>
  </si>
  <si>
    <t>(MIT OR GPL-3.0-or-later)</t>
  </si>
  <si>
    <t>https://stuk.github.io/jszip/</t>
  </si>
  <si>
    <t>https://github.com/Stuk/jszip</t>
  </si>
  <si>
    <t>FileSaver.js</t>
  </si>
  <si>
    <t>觸發檔案下載存檔</t>
  </si>
  <si>
    <t>下載產出檔</t>
  </si>
  <si>
    <t>2023-03-01</t>
  </si>
  <si>
    <t>https://github.com/eligrey/FileSaver.js</t>
  </si>
  <si>
    <t>20 簡報、導覽與教學</t>
  </si>
  <si>
    <t>reveal.js</t>
  </si>
  <si>
    <t>HTML 簡報框架</t>
  </si>
  <si>
    <t>程式碼簡報、教學投影片</t>
  </si>
  <si>
    <t>https://revealjs.com</t>
  </si>
  <si>
    <t>https://revealjs.com/demo/</t>
  </si>
  <si>
    <t>https://github.com/hakimel/reveal.js</t>
  </si>
  <si>
    <t>impress.js</t>
  </si>
  <si>
    <t>Prezi 風 3D 縮放簡報</t>
  </si>
  <si>
    <t>空間式簡報</t>
  </si>
  <si>
    <t>2026-07-23</t>
  </si>
  <si>
    <t>https://impress.js.org</t>
  </si>
  <si>
    <t>https://github.com/impress/impress.js</t>
  </si>
  <si>
    <t>Slidev</t>
  </si>
  <si>
    <t>用 Markdown 加 Vue 做簡報</t>
  </si>
  <si>
    <t>工程師簡報、互動簡報</t>
  </si>
  <si>
    <t>https://sli.dev</t>
  </si>
  <si>
    <t>https://sli.dev/resources/showcases</t>
  </si>
  <si>
    <t>https://github.com/slidevjs/slidev</t>
  </si>
  <si>
    <t>Marp</t>
  </si>
  <si>
    <t>Markdown 簡報（可匯出 PPTX、PDF）</t>
  </si>
  <si>
    <t>快速講義</t>
  </si>
  <si>
    <t>CLI／VS Code</t>
  </si>
  <si>
    <t>2026-07-29</t>
  </si>
  <si>
    <t>https://marp.app</t>
  </si>
  <si>
    <t>https://github.com/marp-team/marp</t>
  </si>
  <si>
    <t>Shepherd.js</t>
  </si>
  <si>
    <t>網頁步驟導覽</t>
  </si>
  <si>
    <t>產品新手教學</t>
  </si>
  <si>
    <t>https://shepherdjs.dev</t>
  </si>
  <si>
    <t>https://github.com/shipshapecode/shepherd</t>
  </si>
  <si>
    <t>Driver.js</t>
  </si>
  <si>
    <t>高亮元素的步驟導覽</t>
  </si>
  <si>
    <t>功能教學</t>
  </si>
  <si>
    <t>2026-07-18</t>
  </si>
  <si>
    <t>https://driverjs.com</t>
  </si>
  <si>
    <t>https://github.com/nilbuild/driver.js</t>
  </si>
  <si>
    <t>Intro.js</t>
  </si>
  <si>
    <t>步驟導覽與提示</t>
  </si>
  <si>
    <t>新手引導</t>
  </si>
  <si>
    <t>https://introjs.com</t>
  </si>
  <si>
    <t>https://github.com/usablica/intro.js</t>
  </si>
  <si>
    <t>21 數學與科學教育</t>
  </si>
  <si>
    <t>KaTeX</t>
  </si>
  <si>
    <t>高速數學公式排版</t>
  </si>
  <si>
    <t>教材公式</t>
  </si>
  <si>
    <t>https://katex.org</t>
  </si>
  <si>
    <t>https://github.com/KaTeX/KaTeX</t>
  </si>
  <si>
    <t>MathJax</t>
  </si>
  <si>
    <t>功能最完整的網頁數學排版</t>
  </si>
  <si>
    <t>教科書公式、化學式</t>
  </si>
  <si>
    <t>2026-07-03</t>
  </si>
  <si>
    <t>https://www.mathjax.org</t>
  </si>
  <si>
    <t>https://www.mathjax.org/#demo</t>
  </si>
  <si>
    <t>https://github.com/mathjax/MathJax</t>
  </si>
  <si>
    <t>JSXGraph</t>
  </si>
  <si>
    <t>互動幾何與函數繪圖</t>
  </si>
  <si>
    <t>可拖曳幾何教學</t>
  </si>
  <si>
    <t>https://jsxgraph.org</t>
  </si>
  <si>
    <t>https://jsxgraph.org/share/</t>
  </si>
  <si>
    <t>https://github.com/jsxgraph/jsxgraph</t>
  </si>
  <si>
    <t>GeoGebra Apps API</t>
  </si>
  <si>
    <t>嵌入 GeoGebra 數學工具</t>
  </si>
  <si>
    <t>數學互動教材</t>
  </si>
  <si>
    <t>非商用免費，商用需授權</t>
  </si>
  <si>
    <t>https://geogebra.github.io/docs/reference/en/GeoGebra_Apps_API/</t>
  </si>
  <si>
    <t>https://www.geogebra.org/materials</t>
  </si>
  <si>
    <t>https://github.com/geogebra/geogebra</t>
  </si>
  <si>
    <t>Desmos API</t>
  </si>
  <si>
    <t>嵌入 Desmos 繪圖計算機</t>
  </si>
  <si>
    <t>函數圖形教學</t>
  </si>
  <si>
    <t>需申請 API 金鑰</t>
  </si>
  <si>
    <t>https://www.desmos.com/api</t>
  </si>
  <si>
    <t>https://www.desmos.com/calculator</t>
  </si>
  <si>
    <t>function-plot</t>
  </si>
  <si>
    <t>函數繪圖</t>
  </si>
  <si>
    <t>數學函數互動圖</t>
  </si>
  <si>
    <t>https://mauriciopoppe.github.io/function-plot/</t>
  </si>
  <si>
    <t>https://github.com/mauriciopoppe/function-plot</t>
  </si>
  <si>
    <t>Mafs</t>
  </si>
  <si>
    <t>React 互動數學元件</t>
  </si>
  <si>
    <t>向量、函數互動</t>
  </si>
  <si>
    <t>2025-03-30</t>
  </si>
  <si>
    <t>https://mafs.dev</t>
  </si>
  <si>
    <t>https://github.com/stevenpetryk/mafs</t>
  </si>
  <si>
    <t>math.js</t>
  </si>
  <si>
    <t>數學運算庫（矩陣、單位換算、符號運算）</t>
  </si>
  <si>
    <t>計算機、單位換算器</t>
  </si>
  <si>
    <t>https://mathjs.org</t>
  </si>
  <si>
    <t>https://mathjs.org/examples/index.html</t>
  </si>
  <si>
    <t>https://github.com/josdejong/mathjs</t>
  </si>
  <si>
    <t>3Dmol.js</t>
  </si>
  <si>
    <t>分子 3D 結構顯示</t>
  </si>
  <si>
    <t>化學、生物教學</t>
  </si>
  <si>
    <t>https://3dmol.csb.pitt.edu</t>
  </si>
  <si>
    <t>https://github.com/3dmol/3Dmol.js</t>
  </si>
  <si>
    <t>22 UI 元件與互動</t>
  </si>
  <si>
    <t>SortableJS</t>
  </si>
  <si>
    <t>拖曳排序清單</t>
  </si>
  <si>
    <t>看板、排序題</t>
  </si>
  <si>
    <t>2026-03-24</t>
  </si>
  <si>
    <t>https://sortablejs.github.io/Sortable/</t>
  </si>
  <si>
    <t>https://github.com/SortableJS/Sortable</t>
  </si>
  <si>
    <t>interact.js</t>
  </si>
  <si>
    <t>拖曳、縮放、多點手勢</t>
  </si>
  <si>
    <t>拼圖、拖放配對題</t>
  </si>
  <si>
    <t>2026-08-01</t>
  </si>
  <si>
    <t>https://interactjs.io</t>
  </si>
  <si>
    <t>https://github.com/taye/interact.js</t>
  </si>
  <si>
    <t>Hammer.js</t>
  </si>
  <si>
    <t>觸控手勢（滑動、捏合、旋轉）</t>
  </si>
  <si>
    <t>手機手勢互動</t>
  </si>
  <si>
    <t>2026-01-04</t>
  </si>
  <si>
    <t>https://hammerjs.github.io</t>
  </si>
  <si>
    <t>https://github.com/hammerjs/hammer.js</t>
  </si>
  <si>
    <t>Tippy.js</t>
  </si>
  <si>
    <t>提示框</t>
  </si>
  <si>
    <t>說明氣泡</t>
  </si>
  <si>
    <t>2024-05-27</t>
  </si>
  <si>
    <t>https://atomiks.github.io/tippyjs/</t>
  </si>
  <si>
    <t>https://github.com/atomiks/tippyjs</t>
  </si>
  <si>
    <t>GitHub 倉庫已封存，作者另推出 Floating UI（本表亦收錄）</t>
  </si>
  <si>
    <t>Floating UI</t>
  </si>
  <si>
    <t>浮動元素定位底層</t>
  </si>
  <si>
    <t>下拉選單、提示框</t>
  </si>
  <si>
    <t>https://floating-ui.com</t>
  </si>
  <si>
    <t>https://github.com/floating-ui/floating-ui</t>
  </si>
  <si>
    <t>SweetAlert2</t>
  </si>
  <si>
    <t>美觀的彈出視窗</t>
  </si>
  <si>
    <t>確認視窗、成功提示</t>
  </si>
  <si>
    <t>https://sweetalert2.github.io</t>
  </si>
  <si>
    <t>https://github.com/sweetalert2/sweetalert2</t>
  </si>
  <si>
    <t>Toastify JS</t>
  </si>
  <si>
    <t>輕量通知訊息</t>
  </si>
  <si>
    <t>操作提示</t>
  </si>
  <si>
    <t>2024-08-19</t>
  </si>
  <si>
    <t>https://apvarun.github.io/toastify-js/</t>
  </si>
  <si>
    <t>https://github.com/apvarun/toastify-js</t>
  </si>
  <si>
    <t>flatpickr</t>
  </si>
  <si>
    <t>日期時間選擇器</t>
  </si>
  <si>
    <t>報名日期選擇</t>
  </si>
  <si>
    <t>2024-08-02</t>
  </si>
  <si>
    <t>https://flatpickr.js.org</t>
  </si>
  <si>
    <t>https://flatpickr.js.org/examples/</t>
  </si>
  <si>
    <t>https://github.com/flatpickr/flatpickr</t>
  </si>
  <si>
    <t>GridStack.js</t>
  </si>
  <si>
    <t>可拖曳調整的儀表板網格</t>
  </si>
  <si>
    <t>自訂儀表板</t>
  </si>
  <si>
    <t>https://gridstackjs.com</t>
  </si>
  <si>
    <t>https://gridstackjs.com/demo/</t>
  </si>
  <si>
    <t>https://github.com/gridstack/gridstack.js</t>
  </si>
  <si>
    <t>Split.js</t>
  </si>
  <si>
    <t>可拖曳分割面板</t>
  </si>
  <si>
    <t>編輯器分欄</t>
  </si>
  <si>
    <t>2024-05-06</t>
  </si>
  <si>
    <t>https://split.js.org</t>
  </si>
  <si>
    <t>https://github.com/nathancahill/split</t>
  </si>
  <si>
    <t>WinBox.js</t>
  </si>
  <si>
    <t>網頁內視窗系統</t>
  </si>
  <si>
    <t>仿桌面 OS 網頁</t>
  </si>
  <si>
    <t>2024-08-15</t>
  </si>
  <si>
    <t>https://nextapps-de.github.io/winbox/</t>
  </si>
  <si>
    <t>https://github.com/nextapps-de/winbox</t>
  </si>
  <si>
    <t>Wired Elements</t>
  </si>
  <si>
    <t>手繪風 UI 元件</t>
  </si>
  <si>
    <t>草稿風原型</t>
  </si>
  <si>
    <t>2023-10-07</t>
  </si>
  <si>
    <t>https://wiredjs.com</t>
  </si>
  <si>
    <t>https://github.com/rough-stuff/wired-elements</t>
  </si>
  <si>
    <t>Lucide</t>
  </si>
  <si>
    <t>開源圖示集</t>
  </si>
  <si>
    <t>介面圖示</t>
  </si>
  <si>
    <t>https://lucide.dev</t>
  </si>
  <si>
    <t>https://lucide.dev/icons/</t>
  </si>
  <si>
    <t>https://github.com/lucide-icons/lucide</t>
  </si>
  <si>
    <t>Iconify</t>
  </si>
  <si>
    <t>統一 20 萬以上圖示的框架</t>
  </si>
  <si>
    <t>各式圖示</t>
  </si>
  <si>
    <t>原生 JS／Web Component</t>
  </si>
  <si>
    <t>https://iconify.design</t>
  </si>
  <si>
    <t>https://icon-sets.iconify.design</t>
  </si>
  <si>
    <t>https://github.com/iconify/iconify</t>
  </si>
  <si>
    <t>shadcn/ui</t>
  </si>
  <si>
    <t>可複製進專案的 React 元件（Tailwind）</t>
  </si>
  <si>
    <t>後台、SaaS 介面</t>
  </si>
  <si>
    <t>https://ui.shadcn.com</t>
  </si>
  <si>
    <t>https://ui.shadcn.com/blocks</t>
  </si>
  <si>
    <t>https://github.com/shadcn-ui/ui</t>
  </si>
  <si>
    <t>Aceternity UI</t>
  </si>
  <si>
    <t>炫砲動效 React 元件（Tailwind 加 Motion）</t>
  </si>
  <si>
    <t>酷炫 Landing Page</t>
  </si>
  <si>
    <t>免費元件可用，Pro 付費</t>
  </si>
  <si>
    <t>https://ui.aceternity.com</t>
  </si>
  <si>
    <t>https://ui.aceternity.com/components</t>
  </si>
  <si>
    <t>Magic UI</t>
  </si>
  <si>
    <t>動畫 React 元件庫</t>
  </si>
  <si>
    <t>Landing Page 動效</t>
  </si>
  <si>
    <t>https://magicui.design</t>
  </si>
  <si>
    <t>https://github.com/magicuidesign/magicui</t>
  </si>
  <si>
    <t>React Bits</t>
  </si>
  <si>
    <t>動畫互動 React 元件集（文字、背景、游標）</t>
  </si>
  <si>
    <t>創意網站元件</t>
  </si>
  <si>
    <t>https://reactbits.dev</t>
  </si>
  <si>
    <t>https://github.com/DavidHDev/react-bits</t>
  </si>
  <si>
    <t>Web Awesome（原 Shoelace）</t>
  </si>
  <si>
    <t>框架無關的 Web Components UI（Shoelace 已更名為 Web Awesome）</t>
  </si>
  <si>
    <t>任何網頁 UI</t>
  </si>
  <si>
    <t>https://webawesome.com</t>
  </si>
  <si>
    <t>https://webawesome.com/docs/components/</t>
  </si>
  <si>
    <t>https://github.com/shoelace-style/webawesome</t>
  </si>
  <si>
    <t>Shoelace 已更名為 Web Awesome，星數為新倉庫</t>
  </si>
  <si>
    <t>daisyUI</t>
  </si>
  <si>
    <t>Tailwind 元件類別</t>
  </si>
  <si>
    <t>快速 UI</t>
  </si>
  <si>
    <t>https://daisyui.com</t>
  </si>
  <si>
    <t>https://daisyui.com/components/</t>
  </si>
  <si>
    <t>https://github.com/saadeghi/daisyui</t>
  </si>
  <si>
    <t>23 程式碼與文字編輯器</t>
  </si>
  <si>
    <t>CodeMirror</t>
  </si>
  <si>
    <t>程式碼編輯器</t>
  </si>
  <si>
    <t>線上程式練習</t>
  </si>
  <si>
    <t>2026-04-15</t>
  </si>
  <si>
    <t>https://codemirror.net</t>
  </si>
  <si>
    <t>https://codemirror.net/examples/</t>
  </si>
  <si>
    <t>https://github.com/codemirror/dev</t>
  </si>
  <si>
    <t>GitHub 倉庫 codemirror/dev 已封存，官網 codemirror.net 仍正常運作</t>
  </si>
  <si>
    <t>Monaco Editor</t>
  </si>
  <si>
    <t>VS Code 的編輯器核心</t>
  </si>
  <si>
    <t>網頁 IDE</t>
  </si>
  <si>
    <t>https://microsoft.github.io/monaco-editor/</t>
  </si>
  <si>
    <t>https://microsoft.github.io/monaco-editor/playground.html</t>
  </si>
  <si>
    <t>https://github.com/microsoft/monaco-editor</t>
  </si>
  <si>
    <t>highlight.js</t>
  </si>
  <si>
    <t>程式碼語法高亮</t>
  </si>
  <si>
    <t>教學文章</t>
  </si>
  <si>
    <t>2026-09-06</t>
  </si>
  <si>
    <t>https://highlightjs.org</t>
  </si>
  <si>
    <t>https://highlightjs.org/demo</t>
  </si>
  <si>
    <t>https://github.com/highlightjs/highlight.js</t>
  </si>
  <si>
    <t>Prism</t>
  </si>
  <si>
    <t>輕量語法高亮</t>
  </si>
  <si>
    <t>技術部落格</t>
  </si>
  <si>
    <t>https://prismjs.com</t>
  </si>
  <si>
    <t>https://prismjs.com/examples.html</t>
  </si>
  <si>
    <t>https://github.com/PrismJS/prism</t>
  </si>
  <si>
    <t>Shiki</t>
  </si>
  <si>
    <t>與 VS Code 同款的語法高亮</t>
  </si>
  <si>
    <t>精美程式碼截圖</t>
  </si>
  <si>
    <t>2026-09-11</t>
  </si>
  <si>
    <t>https://shiki.style</t>
  </si>
  <si>
    <t>https://github.com/shikijs/shiki</t>
  </si>
  <si>
    <t>xterm.js</t>
  </si>
  <si>
    <t>網頁終端機</t>
  </si>
  <si>
    <t>線上 Terminal</t>
  </si>
  <si>
    <t>https://xtermjs.org</t>
  </si>
  <si>
    <t>https://github.com/xtermjs/xterm.js</t>
  </si>
  <si>
    <t>Quill</t>
  </si>
  <si>
    <t>富文字編輯器</t>
  </si>
  <si>
    <t>留言、文章編輯</t>
  </si>
  <si>
    <t>2025-07-25</t>
  </si>
  <si>
    <t>https://quilljs.com</t>
  </si>
  <si>
    <t>https://quilljs.com/playground/snow</t>
  </si>
  <si>
    <t>https://github.com/slab/quill</t>
  </si>
  <si>
    <t>Tiptap</t>
  </si>
  <si>
    <t>無頭富文字編輯器框架</t>
  </si>
  <si>
    <t>Notion 風編輯器</t>
  </si>
  <si>
    <t>https://tiptap.dev</t>
  </si>
  <si>
    <t>https://github.com/ueberdosis/tiptap</t>
  </si>
  <si>
    <t>Editor.js</t>
  </si>
  <si>
    <t>區塊式編輯器，輸出 JSON</t>
  </si>
  <si>
    <t>部落格後台</t>
  </si>
  <si>
    <t>https://editorjs.io</t>
  </si>
  <si>
    <t>https://github.com/codex-team/editor.js</t>
  </si>
  <si>
    <t>24 即時通訊與協作後端</t>
  </si>
  <si>
    <t>Socket.IO</t>
  </si>
  <si>
    <t>即時雙向通訊</t>
  </si>
  <si>
    <t>聊天室、多人白板、即時投票</t>
  </si>
  <si>
    <t>https://socket.io</t>
  </si>
  <si>
    <t>https://socket.io/demos/whiteboard/</t>
  </si>
  <si>
    <t>https://github.com/socketio/socket.io</t>
  </si>
  <si>
    <t>PeerJS</t>
  </si>
  <si>
    <t>WebRTC 點對點連線</t>
  </si>
  <si>
    <t>視訊通話、P2P 傳檔</t>
  </si>
  <si>
    <t>2026-02-27</t>
  </si>
  <si>
    <t>https://peerjs.com</t>
  </si>
  <si>
    <t>https://github.com/peers/peerjs</t>
  </si>
  <si>
    <t>Yjs</t>
  </si>
  <si>
    <t>CRDT 協作編輯核心</t>
  </si>
  <si>
    <t>Google Docs 式共編</t>
  </si>
  <si>
    <t>https://yjs.dev</t>
  </si>
  <si>
    <t>https://github.com/yjs/yjs</t>
  </si>
  <si>
    <t>Firebase JS SDK</t>
  </si>
  <si>
    <t>Google 後端即服務（資料庫、登入、託管）</t>
  </si>
  <si>
    <t>即時排行榜、會員系統</t>
  </si>
  <si>
    <t>https://firebase.google.com/docs/web/setup</t>
  </si>
  <si>
    <t>https://github.com/firebase/firebase-js-sdk</t>
  </si>
  <si>
    <t>Supabase JS</t>
  </si>
  <si>
    <t>開源 Postgres 後端即服務</t>
  </si>
  <si>
    <t>會員、資料庫、即時訂閱</t>
  </si>
  <si>
    <t>https://supabase.com/docs/reference/javascript</t>
  </si>
  <si>
    <t>https://supabase.com/docs/guides/getting-started</t>
  </si>
  <si>
    <t>https://github.com/supabase/supabase-js</t>
  </si>
  <si>
    <t>25 資料處理與儲存</t>
  </si>
  <si>
    <t>Dexie.js</t>
  </si>
  <si>
    <t>IndexedDB 友善封裝</t>
  </si>
  <si>
    <t>離線資料、PWA</t>
  </si>
  <si>
    <t>https://dexie.org</t>
  </si>
  <si>
    <t>https://github.com/dexie/Dexie.js</t>
  </si>
  <si>
    <t>localForage</t>
  </si>
  <si>
    <t>簡易離線儲存</t>
  </si>
  <si>
    <t>暫存設定與資料</t>
  </si>
  <si>
    <t>2024-07-30</t>
  </si>
  <si>
    <t>https://localforage.github.io/localForage/</t>
  </si>
  <si>
    <t>https://github.com/localForage/localForage</t>
  </si>
  <si>
    <t>sql.js</t>
  </si>
  <si>
    <t>瀏覽器內的 SQLite</t>
  </si>
  <si>
    <t>SQL 線上練習</t>
  </si>
  <si>
    <t>2026-08-14</t>
  </si>
  <si>
    <t>https://sql.js.org</t>
  </si>
  <si>
    <t>https://sql.js.org/examples/GUI/</t>
  </si>
  <si>
    <t>https://github.com/sql-js/sql.js</t>
  </si>
  <si>
    <t>DuckDB-Wasm</t>
  </si>
  <si>
    <t>瀏覽器內分析型資料庫</t>
  </si>
  <si>
    <t>大型 CSV、Parquet 分析</t>
  </si>
  <si>
    <t>https://duckdb.org/docs/api/wasm/overview</t>
  </si>
  <si>
    <t>https://shell.duckdb.org</t>
  </si>
  <si>
    <t>https://github.com/duckdb/duckdb-wasm</t>
  </si>
  <si>
    <t>Fuse.js</t>
  </si>
  <si>
    <t>模糊搜尋</t>
  </si>
  <si>
    <t>站內搜尋、選單過濾</t>
  </si>
  <si>
    <t>2026-08-09</t>
  </si>
  <si>
    <t>https://www.fusejs.io</t>
  </si>
  <si>
    <t>https://www.fusejs.io/demo.html</t>
  </si>
  <si>
    <t>https://github.com/krisk/Fuse</t>
  </si>
  <si>
    <t>Day.js</t>
  </si>
  <si>
    <t>輕量日期處理（2KB）</t>
  </si>
  <si>
    <t>倒數計時、日期格式</t>
  </si>
  <si>
    <t>https://day.js.org</t>
  </si>
  <si>
    <t>https://github.com/iamkun/dayjs</t>
  </si>
  <si>
    <t>Lodash</t>
  </si>
  <si>
    <t>常用工具函式庫</t>
  </si>
  <si>
    <t>資料整理、防抖節流</t>
  </si>
  <si>
    <t>https://lodash.com</t>
  </si>
  <si>
    <t>https://lodash.com/docs</t>
  </si>
  <si>
    <t>https://github.com/lodash/lodash</t>
  </si>
  <si>
    <t>Zod</t>
  </si>
  <si>
    <t>資料格式驗證</t>
  </si>
  <si>
    <t>表單與 API 驗證</t>
  </si>
  <si>
    <t>https://zod.dev</t>
  </si>
  <si>
    <t>https://github.com/colinhacks/zod</t>
  </si>
  <si>
    <t>i18next</t>
  </si>
  <si>
    <t>多語系切換</t>
  </si>
  <si>
    <t>中英雙語網站</t>
  </si>
  <si>
    <t>https://www.i18next.com</t>
  </si>
  <si>
    <t>https://github.com/i18next/i18next</t>
  </si>
  <si>
    <t>26 前端框架與樣式</t>
  </si>
  <si>
    <t>元件化 UI 函式庫</t>
  </si>
  <si>
    <t>大型互動應用</t>
  </si>
  <si>
    <t>https://react.dev</t>
  </si>
  <si>
    <t>https://react.dev/learn</t>
  </si>
  <si>
    <t>https://github.com/react/react</t>
  </si>
  <si>
    <t>漸進式框架，可用 CDN 直接引入</t>
  </si>
  <si>
    <t>中小型互動頁</t>
  </si>
  <si>
    <t>https://vuejs.org</t>
  </si>
  <si>
    <t>https://vuejs.org/examples/</t>
  </si>
  <si>
    <t>https://github.com/vuejs/core</t>
  </si>
  <si>
    <t>編譯式框架，產出體積極小</t>
  </si>
  <si>
    <t>高效能互動介面</t>
  </si>
  <si>
    <t>https://svelte.dev</t>
  </si>
  <si>
    <t>https://svelte.dev/playground</t>
  </si>
  <si>
    <t>https://github.com/sveltejs/svelte</t>
  </si>
  <si>
    <t>Alpine.js</t>
  </si>
  <si>
    <t>直接在 HTML 屬性寫互動</t>
  </si>
  <si>
    <t>輕量互動（選單、分頁、彈窗）</t>
  </si>
  <si>
    <t>https://alpinejs.dev</t>
  </si>
  <si>
    <t>https://github.com/alpinejs/alpine</t>
  </si>
  <si>
    <t>htmx</t>
  </si>
  <si>
    <t>用 HTML 屬性做 AJAX 與局部更新</t>
  </si>
  <si>
    <t>少寫 JS 的動態網頁</t>
  </si>
  <si>
    <t>0BSD</t>
  </si>
  <si>
    <t>https://htmx.org</t>
  </si>
  <si>
    <t>https://htmx.org/examples/</t>
  </si>
  <si>
    <t>https://github.com/bigskysoftware/htmx</t>
  </si>
  <si>
    <t>Lit</t>
  </si>
  <si>
    <t>Google 的 Web Components 框架</t>
  </si>
  <si>
    <t>可重用元件</t>
  </si>
  <si>
    <t>https://lit.dev</t>
  </si>
  <si>
    <t>https://lit.dev/playground/</t>
  </si>
  <si>
    <t>https://github.com/lit/lit</t>
  </si>
  <si>
    <t>Preact</t>
  </si>
  <si>
    <t>3KB 的 React 替代品</t>
  </si>
  <si>
    <t>輕量 React 應用</t>
  </si>
  <si>
    <t>React 相容</t>
  </si>
  <si>
    <t>https://preactjs.com</t>
  </si>
  <si>
    <t>https://preactjs.com/repl</t>
  </si>
  <si>
    <t>https://github.com/preactjs/preact</t>
  </si>
  <si>
    <t>Solid</t>
  </si>
  <si>
    <t>細粒度響應式框架</t>
  </si>
  <si>
    <t>高效能 UI</t>
  </si>
  <si>
    <t>https://www.solidjs.com</t>
  </si>
  <si>
    <t>https://playground.solidjs.com</t>
  </si>
  <si>
    <t>https://github.com/solidjs/solid</t>
  </si>
  <si>
    <t>Tailwind CSS</t>
  </si>
  <si>
    <t>原子化 CSS（提供 CDN 版）</t>
  </si>
  <si>
    <t>快速排版與美化</t>
  </si>
  <si>
    <t>https://tailwindcss.com</t>
  </si>
  <si>
    <t>https://play.tailwindcss.com</t>
  </si>
  <si>
    <t>https://github.com/tailwindlabs/tailwindcss</t>
  </si>
  <si>
    <t>27 硬體與實體互動</t>
  </si>
  <si>
    <t>Johnny-Five</t>
  </si>
  <si>
    <t>用 JavaScript 控制 Arduino 等開發板</t>
  </si>
  <si>
    <t>感測器互動裝置、機器人</t>
  </si>
  <si>
    <t>2023-10-24</t>
  </si>
  <si>
    <t>https://johnny-five.io</t>
  </si>
  <si>
    <t>https://johnny-five.io/examples/</t>
  </si>
  <si>
    <t>https://github.com/rwaldron/johnny-five</t>
  </si>
  <si>
    <t>p5.webserial</t>
  </si>
  <si>
    <t>讓 p5.js 透過 Web Serial 與 Arduino 溝通</t>
  </si>
  <si>
    <t>旋鈕、感測器控制畫面</t>
  </si>
  <si>
    <t>LGPL-2.1-or-later</t>
  </si>
  <si>
    <t>2026-05-26</t>
  </si>
  <si>
    <t>https://github.com/gohai/p5.webserial</t>
  </si>
  <si>
    <t>https://editor.p5js.org/gohai/sketches</t>
  </si>
  <si>
    <t>工具數</t>
  </si>
  <si>
    <t>★★★ 數（單檔 HTML 可跑）</t>
  </si>
  <si>
    <t>入門難度數</t>
  </si>
  <si>
    <t>★★★ 比例</t>
  </si>
  <si>
    <t>合計</t>
  </si>
  <si>
    <t>核對：總表列數</t>
  </si>
  <si>
    <t>平台</t>
  </si>
  <si>
    <t>說明</t>
  </si>
  <si>
    <t>適合找的範例</t>
  </si>
  <si>
    <t>網址</t>
  </si>
  <si>
    <t>OpenProcessing</t>
  </si>
  <si>
    <t>p5.js 作品社群，可直接看原始碼並 fork</t>
  </si>
  <si>
    <t>生成藝術、p5 動畫</t>
  </si>
  <si>
    <t>https://openprocessing.org</t>
  </si>
  <si>
    <t>p5.js Web Editor</t>
  </si>
  <si>
    <t>官方線上編輯器，貼上程式即可執行，ml5 官方範例也放這裡</t>
  </si>
  <si>
    <t>p5.js、ml5.js</t>
  </si>
  <si>
    <t>https://editor.p5js.org</t>
  </si>
  <si>
    <t>The Coding Train</t>
  </si>
  <si>
    <t>Daniel Shiffman 的 p5.js 影片教學與挑戰題</t>
  </si>
  <si>
    <t>p5.js、ml5.js 入門</t>
  </si>
  <si>
    <t>https://thecodingtrain.com</t>
  </si>
  <si>
    <t>CodePen</t>
  </si>
  <si>
    <t>前端特效最大社群，搜尋工具名稱即可找到範例</t>
  </si>
  <si>
    <t>CSS、GSAP、Three.js 等</t>
  </si>
  <si>
    <t>https://codepen.io</t>
  </si>
  <si>
    <t>Shadertoy</t>
  </si>
  <si>
    <t>GLSL shader 作品庫，可即時修改</t>
  </si>
  <si>
    <t>shader、光影、分形</t>
  </si>
  <si>
    <t>https://www.shadertoy.com</t>
  </si>
  <si>
    <t>需人工確認（Cloudflare 驗證）</t>
  </si>
  <si>
    <t>The Book of Shaders</t>
  </si>
  <si>
    <t>互動式 GLSL 入門書，範例可直接編輯</t>
  </si>
  <si>
    <t>shader 入門</t>
  </si>
  <si>
    <t>GLSL Sandbox</t>
  </si>
  <si>
    <t>片段 shader 作品集</t>
  </si>
  <si>
    <t>shader 背景</t>
  </si>
  <si>
    <t>https://glslsandbox.com</t>
  </si>
  <si>
    <t>Three.js Journey</t>
  </si>
  <si>
    <t>Three.js 系統課程，課程作品展示</t>
  </si>
  <si>
    <t>https://threejs-journey.com</t>
  </si>
  <si>
    <t>three.js 論壇 Showcase</t>
  </si>
  <si>
    <t>社群分享的 Three.js 作品</t>
  </si>
  <si>
    <t>https://discourse.threejs.org/c/showcase/7</t>
  </si>
  <si>
    <t>Codrops</t>
  </si>
  <si>
    <t>創意前端教學與 Demo（WebGL、捲動、文字特效）</t>
  </si>
  <si>
    <t>GSAP、Three.js、WebGL</t>
  </si>
  <si>
    <t>https://tympanus.net/codrops/</t>
  </si>
  <si>
    <t>Awwwards</t>
  </si>
  <si>
    <t>得獎網站設計集，可看頂尖動效網站</t>
  </si>
  <si>
    <t>網站動效靈感</t>
  </si>
  <si>
    <t>https://www.awwwards.com</t>
  </si>
  <si>
    <t>Experiments with Google</t>
  </si>
  <si>
    <t>Google 創意實驗集（AI、WebGL、AR）</t>
  </si>
  <si>
    <t>TF.js、MediaPipe、WebXR</t>
  </si>
  <si>
    <t>https://experiments.withgoogle.com</t>
  </si>
  <si>
    <t>Observable</t>
  </si>
  <si>
    <t>互動資料筆記本，D3 官方範例所在</t>
  </si>
  <si>
    <t>D3、Plot、資料視覺化</t>
  </si>
  <si>
    <t>https://observablehq.com</t>
  </si>
  <si>
    <t>Dwitter</t>
  </si>
  <si>
    <t>140 字元以內的 Canvas 動畫挑戰</t>
  </si>
  <si>
    <t>極短程式動畫</t>
  </si>
  <si>
    <t>https://www.dwitter.net</t>
  </si>
  <si>
    <t>Babylon.js Playground</t>
  </si>
  <si>
    <t>Babylon 官方線上沙盒，大量可執行範例</t>
  </si>
  <si>
    <t>Hugging Face Spaces</t>
  </si>
  <si>
    <t>大量可直接試玩的 AI Demo，含 Transformers.js 網頁版</t>
  </si>
  <si>
    <t>Transformers.js、WebGPU AI</t>
  </si>
  <si>
    <t>https://huggingface.co/spaces</t>
  </si>
  <si>
    <t>Sketchfab</t>
  </si>
  <si>
    <t>3D 模型平台，部分模型可免費下載 glTF</t>
  </si>
  <si>
    <t>Three.js 素材</t>
  </si>
  <si>
    <t>https://sketchfab.com</t>
  </si>
  <si>
    <t>Poly Haven</t>
  </si>
  <si>
    <t>免費 CC0 的 HDRI、材質、3D 模型</t>
  </si>
  <si>
    <t>Three.js 環境光與材質</t>
  </si>
  <si>
    <t>https://polyhaven.com</t>
  </si>
  <si>
    <t>Mixamo</t>
  </si>
  <si>
    <t>Adobe 免費角色與動作庫（需 Adobe 帳號）</t>
  </si>
  <si>
    <t>Three.js 角色動畫</t>
  </si>
  <si>
    <t>https://www.mixamo.com</t>
  </si>
  <si>
    <t>LottieFiles</t>
  </si>
  <si>
    <t>Lottie 動畫素材庫與播放器</t>
  </si>
  <si>
    <t>Lottie 動畫</t>
  </si>
  <si>
    <t>https://lottiefiles.com</t>
  </si>
  <si>
    <t>工具組合</t>
  </si>
  <si>
    <t>可做出的成品</t>
  </si>
  <si>
    <t>給 Claude 的提示詞範例</t>
  </si>
  <si>
    <t>參考範例網址</t>
  </si>
  <si>
    <t>p5.js ＋ ml5.js</t>
  </si>
  <si>
    <t>手勢互動藝術</t>
  </si>
  <si>
    <t>用 p5.js 加 ml5.js 的 handPose 做單檔 HTML：開啟鏡頭，食指指尖畫出彩色光軌，張開手掌就清空畫面。</t>
  </si>
  <si>
    <t>p5.js ＋ p5.sound</t>
  </si>
  <si>
    <t>麥克風聲音視覺化</t>
  </si>
  <si>
    <t>用 p5.js 與 p5.sound 做單檔 HTML：讀取麥克風，畫出隨音量與頻譜脈動的圓形頻譜圖。</t>
  </si>
  <si>
    <t>p5.js ＋ Mediabunny</t>
  </si>
  <si>
    <t>p5 動畫匯出 MP4</t>
  </si>
  <si>
    <t>寫一支 20 秒 p5.js 動畫，加一個按鈕，用 Mediabunny 把 canvas 逐格編碼成 MP4 下載。</t>
  </si>
  <si>
    <t>Matter.js ＋ p5.js</t>
  </si>
  <si>
    <t>物理掉落互動</t>
  </si>
  <si>
    <t>用 Matter.js 加 p5.js：把「歡迎光臨」每個字變成物理方塊，從上方掉落堆疊，可用滑鼠拖曳丟擲。</t>
  </si>
  <si>
    <t>Three.js ＋ GSAP ScrollTrigger</t>
  </si>
  <si>
    <t>捲動 3D 產品頁</t>
  </si>
  <si>
    <t>用 Three.js 加 GSAP ScrollTrigger 做一頁式網站：捲動時 3D 模型旋轉、鏡頭推近，每一段顯示一段文案。</t>
  </si>
  <si>
    <t>Three.js ＋ cannon-es</t>
  </si>
  <si>
    <t>3D 物理擲骰</t>
  </si>
  <si>
    <t>用 Three.js 加 cannon-es 做可以擲出的 3D 骰子，骰子停下後在畫面顯示點數。</t>
  </si>
  <si>
    <t>Three.js ＋ Tone.js</t>
  </si>
  <si>
    <t>音樂驅動 3D 視覺</t>
  </si>
  <si>
    <t>用 Tone.js 播放一段合成器旋律，Three.js 場景裡的球體依每個音符的音高與力度變形、變色。</t>
  </si>
  <si>
    <t>MediaPipe ＋ Three.js</t>
  </si>
  <si>
    <t>臉部追蹤 AR 濾鏡</t>
  </si>
  <si>
    <t>用 MediaPipe Face Landmarker 追蹤臉部，Three.js 在眼睛位置疊一副 3D 眼鏡，跟著頭轉動。</t>
  </si>
  <si>
    <t>https://developers.google.com/edge/mediapipe/solutions/vision/face_landmarker</t>
  </si>
  <si>
    <t>A-Frame ＋ MindAR</t>
  </si>
  <si>
    <t>海報或名片 AR</t>
  </si>
  <si>
    <t>用 A-Frame 加 MindAR 做圖片追蹤 AR：手機鏡頭對準名片，名片上方浮出 3D 標誌與介紹文字。</t>
  </si>
  <si>
    <t>Vanta.js ＋ Typed.js ＋ AOS</t>
  </si>
  <si>
    <t>動態形象首頁</t>
  </si>
  <si>
    <t>做一個形象首頁：Vanta.js 動態背景、Typed.js 打出標語、下方區塊用 AOS 捲動淡入。</t>
  </si>
  <si>
    <t>Lenis ＋ GSAP ＋ SplitType</t>
  </si>
  <si>
    <t>高級感文字動效網站</t>
  </si>
  <si>
    <t>用 Lenis 平滑捲動，搭配 GSAP 與 SplitType 讓每段標題逐字往上浮現。</t>
  </si>
  <si>
    <t>Phaser ＋ ZzFX</t>
  </si>
  <si>
    <t>2D 小遊戲含音效</t>
  </si>
  <si>
    <t>用 Phaser 做單檔 HTML 橫向跳躍遊戲：方向鍵移動、空白鍵跳、吃金幣加分，音效用 ZzFX 產生。</t>
  </si>
  <si>
    <t>Leaflet ＋ Chart.js</t>
  </si>
  <si>
    <t>地圖資料儀表板</t>
  </si>
  <si>
    <t>用 Leaflet 標出台灣 22 縣市，點擊縣市時右側用 Chart.js 顯示該縣市的長條圖資料。</t>
  </si>
  <si>
    <t>Globe.gl ＋ JSON 資料</t>
  </si>
  <si>
    <t>3D 地球航線圖</t>
  </si>
  <si>
    <t>用 Globe.gl 畫旋轉地球，從台北拉出弧線連到 10 個城市，滑過弧線顯示航線名稱。</t>
  </si>
  <si>
    <t>D3 ＋ Scrollama</t>
  </si>
  <si>
    <t>捲動數據敘事</t>
  </si>
  <si>
    <t>用 Scrollama 做新聞式捲動敘事：左側文字段落捲動時，右側 D3 圖表依段落切換成不同圖型。</t>
  </si>
  <si>
    <t>ECharts ＋ SheetJS</t>
  </si>
  <si>
    <t>上傳 Excel 自動畫圖</t>
  </si>
  <si>
    <t>做一個網頁：上傳 xlsx 後用 SheetJS 讀第一個工作表，讓使用者選欄位，用 ECharts 畫出圖表。</t>
  </si>
  <si>
    <t>Transformers.js（Whisper）</t>
  </si>
  <si>
    <t>瀏覽器內語音轉字幕</t>
  </si>
  <si>
    <t>用 Transformers.js 載入 Whisper 模型，在瀏覽器把上傳的音檔轉成文字並輸出 SRT，不用後端。</t>
  </si>
  <si>
    <t>reveal.js ＋ Mermaid ＋ KaTeX</t>
  </si>
  <si>
    <t>技術教學簡報</t>
  </si>
  <si>
    <t>用 reveal.js 做 8 頁簡報，其中 2 頁放 Mermaid 流程圖、1 頁放 KaTeX 公式，每頁切換有淡入。</t>
  </si>
  <si>
    <t>Fabric.js ＋ qr-code-styling</t>
  </si>
  <si>
    <t>線上海報產生器</t>
  </si>
  <si>
    <t>用 Fabric.js 做海報編輯器：可加文字、上傳圖片、插入 qr-code-styling 產生的 QR Code，最後匯出 PNG。</t>
  </si>
  <si>
    <t>PixiJS ＋ pixi-live2d-display</t>
  </si>
  <si>
    <t>Live2D 互動角色</t>
  </si>
  <si>
    <t>用 PixiJS 加 pixi-live2d-display 載入 Live2D 範例模型，點擊角色時播放動作並顯示對話框。</t>
  </si>
  <si>
    <t>canvas-confetti ＋ SweetAlert2</t>
  </si>
  <si>
    <t>抽獎或測驗結果頁</t>
  </si>
  <si>
    <t>做一個抽獎轉盤，抽中時噴出 canvas-confetti 彩帶，並用 SweetAlert2 跳出得獎視窗。</t>
  </si>
  <si>
    <t>Remotion ＋ Lottie</t>
  </si>
  <si>
    <t>程式化產生影片</t>
  </si>
  <si>
    <t>用 Remotion 做 15 秒 1080x1920 直式影片：Lottie 動畫開場，接著三張數據卡片依序進場，輸出 MP4。</t>
  </si>
  <si>
    <t>項目</t>
  </si>
  <si>
    <t>用途</t>
  </si>
  <si>
    <t>整理可搭配 Claude 產生網頁作品的 JavaScript 工具，依功能分 27 大類，共 328 個工具。</t>
  </si>
  <si>
    <t>工作表</t>
  </si>
  <si>
    <t>JS工具總表：主清單，可用篩選器依大類、難度、友善度篩選。分類統計：各大類工具數（公式自動計算）。範例靈感平台：找範例與素材的網站。組合配方：多工具搭配的成品與提示詞範例。</t>
  </si>
  <si>
    <t>入門：看範例改參數就能用。中階：需理解該工具的核心概念。進階：需要圖學、數學或底層 API 知識。屬主觀分級。</t>
  </si>
  <si>
    <t>★★★：一個 HTML 檔加 CDN 即可執行，最適合直接請 Claude 產出。★★：需要 npm 建置或特定框架（React、Vue 等）。★：需要 API 金鑰、帳號、付費或商業授權、或後端伺服器。</t>
  </si>
  <si>
    <t>優先採用 GitHub 偵測結果，偵測失敗時讀取 package.json 或 LICENSE 檔判斷，商業授權類手動標註。僅供參考，商用前請以官方授權條款為準。</t>
  </si>
  <si>
    <t>GitHub 星數與最後更新</t>
  </si>
  <si>
    <t>2026-10-01 透過 GitHub API 取得。最後更新為倉庫最後一次 push 的日期。</t>
  </si>
  <si>
    <t>2026-10-01 以程式逐一請求 540 個官網與範例網址（HTTP 200 視為正常）。被機器人防護擋下（403）的網址改用瀏覽器開啟確認，標為「正常（瀏覽器確認）」。有 Cloudflare 驗證頁、無法自動確認的網址標為「需人工確認」。GitHub 網址以 API 確認倉庫存在。</t>
  </si>
  <si>
    <t>檢查限制</t>
  </si>
  <si>
    <t>網址檢查只確認頁面能開啟，未逐頁確認範例內容仍在。功能說明依整理當下的知識撰寫，未逐一實際執行每個工具驗證。部分「範例」連結為內含可執行範例的文件頁。</t>
  </si>
  <si>
    <t>GitHub 已封存</t>
  </si>
  <si>
    <t>標註於備註欄。已封存的工具仍可使用，但不會再修正問題，新專案建議優先選擇仍在維護的替代品。</t>
  </si>
  <si>
    <t>API 金鑰安全</t>
  </si>
  <si>
    <t>需要金鑰的服務（Claude API、Google Maps、Mapbox 等），金鑰不可直接寫進公開網頁，需透過後端轉發。</t>
  </si>
  <si>
    <t>整理日期</t>
  </si>
  <si>
    <t>2026-10-01</t>
  </si>
  <si>
    <t>LGPL-2.1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</si>
</sst>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0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u/>
      <sz val="10"/>
      <color rgb="FF0563C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ndcastle.cesium.com/" TargetMode="External"/><Relationship Id="rId671" Type="http://schemas.openxmlformats.org/officeDocument/2006/relationships/hyperlink" Target="https://ffmpegwasm.netlify.app/" TargetMode="External"/><Relationship Id="rId769" Type="http://schemas.openxmlformats.org/officeDocument/2006/relationships/hyperlink" Target="https://revealjs.com/" TargetMode="External"/><Relationship Id="rId976" Type="http://schemas.openxmlformats.org/officeDocument/2006/relationships/hyperlink" Target="https://github.com/gohai/p5.webserial" TargetMode="External"/><Relationship Id="rId21" Type="http://schemas.openxmlformats.org/officeDocument/2006/relationships/hyperlink" Target="https://github.com/pixijs/pixijs" TargetMode="External"/><Relationship Id="rId324" Type="http://schemas.openxmlformats.org/officeDocument/2006/relationships/hyperlink" Target="https://rapier.rs/demos3d/index.html" TargetMode="External"/><Relationship Id="rId531" Type="http://schemas.openxmlformats.org/officeDocument/2006/relationships/hyperlink" Target="https://maplibre.org/maplibre-gl-js/docs/examples/" TargetMode="External"/><Relationship Id="rId629" Type="http://schemas.openxmlformats.org/officeDocument/2006/relationships/hyperlink" Target="https://tesseract.projectnaptha.com/" TargetMode="External"/><Relationship Id="rId170" Type="http://schemas.openxmlformats.org/officeDocument/2006/relationships/hyperlink" Target="https://animate.style/" TargetMode="External"/><Relationship Id="rId836" Type="http://schemas.openxmlformats.org/officeDocument/2006/relationships/hyperlink" Target="https://github.com/apvarun/toastify-js" TargetMode="External"/><Relationship Id="rId268" Type="http://schemas.openxmlformats.org/officeDocument/2006/relationships/hyperlink" Target="https://github.com/markedjs/marked" TargetMode="External"/><Relationship Id="rId475" Type="http://schemas.openxmlformats.org/officeDocument/2006/relationships/hyperlink" Target="https://github.com/antvis/G6" TargetMode="External"/><Relationship Id="rId682" Type="http://schemas.openxmlformats.org/officeDocument/2006/relationships/hyperlink" Target="https://videojs.org/" TargetMode="External"/><Relationship Id="rId903" Type="http://schemas.openxmlformats.org/officeDocument/2006/relationships/hyperlink" Target="https://socket.io/demos/whiteboard/" TargetMode="External"/><Relationship Id="rId32" Type="http://schemas.openxmlformats.org/officeDocument/2006/relationships/hyperlink" Target="https://svgjs.dev/docs/3.2/" TargetMode="External"/><Relationship Id="rId128" Type="http://schemas.openxmlformats.org/officeDocument/2006/relationships/hyperlink" Target="https://tweakpane.github.io/docs/" TargetMode="External"/><Relationship Id="rId335" Type="http://schemas.openxmlformats.org/officeDocument/2006/relationships/hyperlink" Target="https://phaser.io/" TargetMode="External"/><Relationship Id="rId542" Type="http://schemas.openxmlformats.org/officeDocument/2006/relationships/hyperlink" Target="https://globe.gl/" TargetMode="External"/><Relationship Id="rId181" Type="http://schemas.openxmlformats.org/officeDocument/2006/relationships/hyperlink" Target="https://github.com/thednp/kute.js" TargetMode="External"/><Relationship Id="rId402" Type="http://schemas.openxmlformats.org/officeDocument/2006/relationships/hyperlink" Target="https://nearform.com/open-source/victory/" TargetMode="External"/><Relationship Id="rId847" Type="http://schemas.openxmlformats.org/officeDocument/2006/relationships/hyperlink" Target="https://nextapps-de.github.io/winbox/" TargetMode="External"/><Relationship Id="rId279" Type="http://schemas.openxmlformats.org/officeDocument/2006/relationships/hyperlink" Target="https://www.vantajs.com/" TargetMode="External"/><Relationship Id="rId486" Type="http://schemas.openxmlformats.org/officeDocument/2006/relationships/hyperlink" Target="https://hizzgdev.github.io/jsmind/example/demo.html" TargetMode="External"/><Relationship Id="rId693" Type="http://schemas.openxmlformats.org/officeDocument/2006/relationships/hyperlink" Target="https://github.com/niklasvh/html2canvas" TargetMode="External"/><Relationship Id="rId707" Type="http://schemas.openxmlformats.org/officeDocument/2006/relationships/hyperlink" Target="https://github.com/mistic100/Photo-Sphere-Viewer" TargetMode="External"/><Relationship Id="rId914" Type="http://schemas.openxmlformats.org/officeDocument/2006/relationships/hyperlink" Target="https://supabase.com/docs/reference/javascript" TargetMode="External"/><Relationship Id="rId43" Type="http://schemas.openxmlformats.org/officeDocument/2006/relationships/hyperlink" Target="https://gka.github.io/chroma.js/" TargetMode="External"/><Relationship Id="rId139" Type="http://schemas.openxmlformats.org/officeDocument/2006/relationships/hyperlink" Target="https://github.com/mrdoob/stats.js" TargetMode="External"/><Relationship Id="rId346" Type="http://schemas.openxmlformats.org/officeDocument/2006/relationships/hyperlink" Target="https://github.com/melonjs/melonJS" TargetMode="External"/><Relationship Id="rId553" Type="http://schemas.openxmlformats.org/officeDocument/2006/relationships/hyperlink" Target="https://github.com/Turfjs/turf" TargetMode="External"/><Relationship Id="rId760" Type="http://schemas.openxmlformats.org/officeDocument/2006/relationships/hyperlink" Target="https://github.com/lindell/JsBarcode" TargetMode="External"/><Relationship Id="rId192" Type="http://schemas.openxmlformats.org/officeDocument/2006/relationships/hyperlink" Target="https://lenis.dev/" TargetMode="External"/><Relationship Id="rId206" Type="http://schemas.openxmlformats.org/officeDocument/2006/relationships/hyperlink" Target="https://github.com/russellsamora/scrollama" TargetMode="External"/><Relationship Id="rId413" Type="http://schemas.openxmlformats.org/officeDocument/2006/relationships/hyperlink" Target="https://naver.github.io/billboard.js/" TargetMode="External"/><Relationship Id="rId858" Type="http://schemas.openxmlformats.org/officeDocument/2006/relationships/hyperlink" Target="https://ui.shadcn.com/" TargetMode="External"/><Relationship Id="rId497" Type="http://schemas.openxmlformats.org/officeDocument/2006/relationships/hyperlink" Target="https://retejs.org/" TargetMode="External"/><Relationship Id="rId620" Type="http://schemas.openxmlformats.org/officeDocument/2006/relationships/hyperlink" Target="https://webllm.mlc.ai/" TargetMode="External"/><Relationship Id="rId718" Type="http://schemas.openxmlformats.org/officeDocument/2006/relationships/hyperlink" Target="https://biati-digital.github.io/glightbox/" TargetMode="External"/><Relationship Id="rId925" Type="http://schemas.openxmlformats.org/officeDocument/2006/relationships/hyperlink" Target="https://github.com/sql-js/sql.js" TargetMode="External"/><Relationship Id="rId357" Type="http://schemas.openxmlformats.org/officeDocument/2006/relationships/hyperlink" Target="https://gd.games/" TargetMode="External"/><Relationship Id="rId54" Type="http://schemas.openxmlformats.org/officeDocument/2006/relationships/hyperlink" Target="https://threejs.org/" TargetMode="External"/><Relationship Id="rId217" Type="http://schemas.openxmlformats.org/officeDocument/2006/relationships/hyperlink" Target="https://github.com/alvarotrigo/fullPage.js" TargetMode="External"/><Relationship Id="rId564" Type="http://schemas.openxmlformats.org/officeDocument/2006/relationships/hyperlink" Target="https://howlerjs.com/" TargetMode="External"/><Relationship Id="rId771" Type="http://schemas.openxmlformats.org/officeDocument/2006/relationships/hyperlink" Target="https://github.com/hakimel/reveal.js" TargetMode="External"/><Relationship Id="rId869" Type="http://schemas.openxmlformats.org/officeDocument/2006/relationships/hyperlink" Target="https://webawesome.com/" TargetMode="External"/><Relationship Id="rId424" Type="http://schemas.openxmlformats.org/officeDocument/2006/relationships/hyperlink" Target="https://github.com/frappe/charts" TargetMode="External"/><Relationship Id="rId631" Type="http://schemas.openxmlformats.org/officeDocument/2006/relationships/hyperlink" Target="https://github.com/naptha/tesseract.js" TargetMode="External"/><Relationship Id="rId729" Type="http://schemas.openxmlformats.org/officeDocument/2006/relationships/hyperlink" Target="https://img-comparison-slider.sneas.io/" TargetMode="External"/><Relationship Id="rId270" Type="http://schemas.openxmlformats.org/officeDocument/2006/relationships/hyperlink" Target="https://particles.js.org/demos/" TargetMode="External"/><Relationship Id="rId936" Type="http://schemas.openxmlformats.org/officeDocument/2006/relationships/hyperlink" Target="https://lodash.com/docs" TargetMode="External"/><Relationship Id="rId65" Type="http://schemas.openxmlformats.org/officeDocument/2006/relationships/hyperlink" Target="https://github.com/aframevr/aframe" TargetMode="External"/><Relationship Id="rId130" Type="http://schemas.openxmlformats.org/officeDocument/2006/relationships/hyperlink" Target="https://github.com/cocopon/tweakpane" TargetMode="External"/><Relationship Id="rId368" Type="http://schemas.openxmlformats.org/officeDocument/2006/relationships/hyperlink" Target="https://colyseus.io/" TargetMode="External"/><Relationship Id="rId575" Type="http://schemas.openxmlformats.org/officeDocument/2006/relationships/hyperlink" Target="https://meyda.js.org/" TargetMode="External"/><Relationship Id="rId782" Type="http://schemas.openxmlformats.org/officeDocument/2006/relationships/hyperlink" Target="https://shepherdjs.dev/" TargetMode="External"/><Relationship Id="rId228" Type="http://schemas.openxmlformats.org/officeDocument/2006/relationships/hyperlink" Target="https://splidejs.com/" TargetMode="External"/><Relationship Id="rId435" Type="http://schemas.openxmlformats.org/officeDocument/2006/relationships/hyperlink" Target="https://wordcloud2-js.timdream.org/" TargetMode="External"/><Relationship Id="rId642" Type="http://schemas.openxmlformats.org/officeDocument/2006/relationships/hyperlink" Target="https://docs.langchain.com/oss/javascript/langchain/overview" TargetMode="External"/><Relationship Id="rId281" Type="http://schemas.openxmlformats.org/officeDocument/2006/relationships/hyperlink" Target="https://sarcadass.github.io/granim.js/" TargetMode="External"/><Relationship Id="rId502" Type="http://schemas.openxmlformats.org/officeDocument/2006/relationships/hyperlink" Target="https://github.com/clientIO/joint" TargetMode="External"/><Relationship Id="rId947" Type="http://schemas.openxmlformats.org/officeDocument/2006/relationships/hyperlink" Target="https://vuejs.org/" TargetMode="External"/><Relationship Id="rId76" Type="http://schemas.openxmlformats.org/officeDocument/2006/relationships/hyperlink" Target="https://lab.tresjs.org/" TargetMode="External"/><Relationship Id="rId141" Type="http://schemas.openxmlformats.org/officeDocument/2006/relationships/hyperlink" Target="https://gsap.com/showcase/" TargetMode="External"/><Relationship Id="rId379" Type="http://schemas.openxmlformats.org/officeDocument/2006/relationships/hyperlink" Target="https://github.com/d3/d3" TargetMode="External"/><Relationship Id="rId586" Type="http://schemas.openxmlformats.org/officeDocument/2006/relationships/hyperlink" Target="https://github.com/magenta/magenta-js" TargetMode="External"/><Relationship Id="rId793" Type="http://schemas.openxmlformats.org/officeDocument/2006/relationships/hyperlink" Target="https://www.mathjax.org/" TargetMode="External"/><Relationship Id="rId807" Type="http://schemas.openxmlformats.org/officeDocument/2006/relationships/hyperlink" Target="https://mafs.dev/" TargetMode="External"/><Relationship Id="rId7" Type="http://schemas.openxmlformats.org/officeDocument/2006/relationships/hyperlink" Target="http://paperjs.org/" TargetMode="External"/><Relationship Id="rId239" Type="http://schemas.openxmlformats.org/officeDocument/2006/relationships/hyperlink" Target="https://www.typeitjs.com/" TargetMode="External"/><Relationship Id="rId446" Type="http://schemas.openxmlformats.org/officeDocument/2006/relationships/hyperlink" Target="https://www.ag-grid.com/" TargetMode="External"/><Relationship Id="rId653" Type="http://schemas.openxmlformats.org/officeDocument/2006/relationships/hyperlink" Target="https://hiukim.github.io/mind-ar-js-doc/" TargetMode="External"/><Relationship Id="rId292" Type="http://schemas.openxmlformats.org/officeDocument/2006/relationships/hyperlink" Target="https://github.com/loonywizard/js-confetti" TargetMode="External"/><Relationship Id="rId306" Type="http://schemas.openxmlformats.org/officeDocument/2006/relationships/hyperlink" Target="https://tympanus.net/Development/DistortionHoverEffect/" TargetMode="External"/><Relationship Id="rId860" Type="http://schemas.openxmlformats.org/officeDocument/2006/relationships/hyperlink" Target="https://github.com/shadcn-ui/ui" TargetMode="External"/><Relationship Id="rId958" Type="http://schemas.openxmlformats.org/officeDocument/2006/relationships/hyperlink" Target="https://github.com/bigskysoftware/htmx" TargetMode="External"/><Relationship Id="rId87" Type="http://schemas.openxmlformats.org/officeDocument/2006/relationships/hyperlink" Target="https://luma.gl/" TargetMode="External"/><Relationship Id="rId513" Type="http://schemas.openxmlformats.org/officeDocument/2006/relationships/hyperlink" Target="https://tldraw.dev/examples" TargetMode="External"/><Relationship Id="rId597" Type="http://schemas.openxmlformats.org/officeDocument/2006/relationships/hyperlink" Target="https://webmidijs.org/" TargetMode="External"/><Relationship Id="rId720" Type="http://schemas.openxmlformats.org/officeDocument/2006/relationships/hyperlink" Target="https://masonry.desandro.com/" TargetMode="External"/><Relationship Id="rId818" Type="http://schemas.openxmlformats.org/officeDocument/2006/relationships/hyperlink" Target="https://github.com/SortableJS/Sortable" TargetMode="External"/><Relationship Id="rId152" Type="http://schemas.openxmlformats.org/officeDocument/2006/relationships/hyperlink" Target="https://mojs.github.io/" TargetMode="External"/><Relationship Id="rId457" Type="http://schemas.openxmlformats.org/officeDocument/2006/relationships/hyperlink" Target="https://github.com/cytoscape/cytoscape.js" TargetMode="External"/><Relationship Id="rId664" Type="http://schemas.openxmlformats.org/officeDocument/2006/relationships/hyperlink" Target="https://github.com/remotion-dev/remotion" TargetMode="External"/><Relationship Id="rId871" Type="http://schemas.openxmlformats.org/officeDocument/2006/relationships/hyperlink" Target="https://github.com/shoelace-style/webawesome" TargetMode="External"/><Relationship Id="rId969" Type="http://schemas.openxmlformats.org/officeDocument/2006/relationships/hyperlink" Target="https://play.tailwindcss.com/" TargetMode="External"/><Relationship Id="rId14" Type="http://schemas.openxmlformats.org/officeDocument/2006/relationships/hyperlink" Target="https://konvajs.org/docs/sandbox/" TargetMode="External"/><Relationship Id="rId317" Type="http://schemas.openxmlformats.org/officeDocument/2006/relationships/hyperlink" Target="https://github.com/schteppe/p2.js" TargetMode="External"/><Relationship Id="rId524" Type="http://schemas.openxmlformats.org/officeDocument/2006/relationships/hyperlink" Target="https://viz-js.com/" TargetMode="External"/><Relationship Id="rId731" Type="http://schemas.openxmlformats.org/officeDocument/2006/relationships/hyperlink" Target="https://github.com/sneas/img-comparison-slider" TargetMode="External"/><Relationship Id="rId98" Type="http://schemas.openxmlformats.org/officeDocument/2006/relationships/hyperlink" Target="https://shaderpark.com/" TargetMode="External"/><Relationship Id="rId163" Type="http://schemas.openxmlformats.org/officeDocument/2006/relationships/hyperlink" Target="https://github.com/rive-app/rive-wasm" TargetMode="External"/><Relationship Id="rId370" Type="http://schemas.openxmlformats.org/officeDocument/2006/relationships/hyperlink" Target="https://github.com/colyseus/colyseus" TargetMode="External"/><Relationship Id="rId829" Type="http://schemas.openxmlformats.org/officeDocument/2006/relationships/hyperlink" Target="https://floating-ui.com/" TargetMode="External"/><Relationship Id="rId230" Type="http://schemas.openxmlformats.org/officeDocument/2006/relationships/hyperlink" Target="https://www.embla-carousel.com/" TargetMode="External"/><Relationship Id="rId468" Type="http://schemas.openxmlformats.org/officeDocument/2006/relationships/hyperlink" Target="https://vasturiano.github.io/force-graph/" TargetMode="External"/><Relationship Id="rId675" Type="http://schemas.openxmlformats.org/officeDocument/2006/relationships/hyperlink" Target="https://mediabunny.dev/" TargetMode="External"/><Relationship Id="rId882" Type="http://schemas.openxmlformats.org/officeDocument/2006/relationships/hyperlink" Target="https://highlightjs.org/demo" TargetMode="External"/><Relationship Id="rId25" Type="http://schemas.openxmlformats.org/officeDocument/2006/relationships/hyperlink" Target="https://roughjs.com/" TargetMode="External"/><Relationship Id="rId328" Type="http://schemas.openxmlformats.org/officeDocument/2006/relationships/hyperlink" Target="https://github.com/kripken/ammo.js" TargetMode="External"/><Relationship Id="rId535" Type="http://schemas.openxmlformats.org/officeDocument/2006/relationships/hyperlink" Target="https://github.com/mapbox/mapbox-gl-js" TargetMode="External"/><Relationship Id="rId742" Type="http://schemas.openxmlformats.org/officeDocument/2006/relationships/hyperlink" Target="https://docs.sheetjs.com/docs/demos/" TargetMode="External"/><Relationship Id="rId174" Type="http://schemas.openxmlformats.org/officeDocument/2006/relationships/hyperlink" Target="https://barba.js.org/docs/getstarted/intro/" TargetMode="External"/><Relationship Id="rId381" Type="http://schemas.openxmlformats.org/officeDocument/2006/relationships/hyperlink" Target="https://www.chartjs.org/docs/latest/samples/" TargetMode="External"/><Relationship Id="rId602" Type="http://schemas.openxmlformats.org/officeDocument/2006/relationships/hyperlink" Target="https://alemangui.github.io/pizzicato/" TargetMode="External"/><Relationship Id="rId241" Type="http://schemas.openxmlformats.org/officeDocument/2006/relationships/hyperlink" Target="https://github.com/alexmacarthur/typeit" TargetMode="External"/><Relationship Id="rId479" Type="http://schemas.openxmlformats.org/officeDocument/2006/relationships/hyperlink" Target="https://markmap.js.org/" TargetMode="External"/><Relationship Id="rId686" Type="http://schemas.openxmlformats.org/officeDocument/2006/relationships/hyperlink" Target="https://plyr.io/" TargetMode="External"/><Relationship Id="rId893" Type="http://schemas.openxmlformats.org/officeDocument/2006/relationships/hyperlink" Target="https://quilljs.com/" TargetMode="External"/><Relationship Id="rId907" Type="http://schemas.openxmlformats.org/officeDocument/2006/relationships/hyperlink" Target="https://github.com/peers/peerjs" TargetMode="External"/><Relationship Id="rId36" Type="http://schemas.openxmlformats.org/officeDocument/2006/relationships/hyperlink" Target="https://github.com/adobe-webplatform/Snap.svg" TargetMode="External"/><Relationship Id="rId339" Type="http://schemas.openxmlformats.org/officeDocument/2006/relationships/hyperlink" Target="https://play.kaplayjs.com/" TargetMode="External"/><Relationship Id="rId546" Type="http://schemas.openxmlformats.org/officeDocument/2006/relationships/hyperlink" Target="https://deck.gl/examples" TargetMode="External"/><Relationship Id="rId753" Type="http://schemas.openxmlformats.org/officeDocument/2006/relationships/hyperlink" Target="https://www.papaparse.com/demo" TargetMode="External"/><Relationship Id="rId101" Type="http://schemas.openxmlformats.org/officeDocument/2006/relationships/hyperlink" Target="https://github.com/patriciogonzalezvivo/glslCanvas" TargetMode="External"/><Relationship Id="rId185" Type="http://schemas.openxmlformats.org/officeDocument/2006/relationships/hyperlink" Target="https://maxwellito.github.io/vivus/" TargetMode="External"/><Relationship Id="rId406" Type="http://schemas.openxmlformats.org/officeDocument/2006/relationships/hyperlink" Target="https://github.com/vega/vega-lite" TargetMode="External"/><Relationship Id="rId960" Type="http://schemas.openxmlformats.org/officeDocument/2006/relationships/hyperlink" Target="https://lit.dev/playground/" TargetMode="External"/><Relationship Id="rId392" Type="http://schemas.openxmlformats.org/officeDocument/2006/relationships/hyperlink" Target="https://apexcharts.com/" TargetMode="External"/><Relationship Id="rId613" Type="http://schemas.openxmlformats.org/officeDocument/2006/relationships/hyperlink" Target="https://github.com/tensorflow/tfjs" TargetMode="External"/><Relationship Id="rId697" Type="http://schemas.openxmlformats.org/officeDocument/2006/relationships/hyperlink" Target="https://fengyuanchen.github.io/cropperjs/" TargetMode="External"/><Relationship Id="rId820" Type="http://schemas.openxmlformats.org/officeDocument/2006/relationships/hyperlink" Target="https://interactjs.io/" TargetMode="External"/><Relationship Id="rId918" Type="http://schemas.openxmlformats.org/officeDocument/2006/relationships/hyperlink" Target="https://dexie.org/" TargetMode="External"/><Relationship Id="rId252" Type="http://schemas.openxmlformats.org/officeDocument/2006/relationships/hyperlink" Target="https://blotter.js.org/" TargetMode="External"/><Relationship Id="rId47" Type="http://schemas.openxmlformats.org/officeDocument/2006/relationships/hyperlink" Target="https://github.com/jwagner/simplex-noise.js" TargetMode="External"/><Relationship Id="rId112" Type="http://schemas.openxmlformats.org/officeDocument/2006/relationships/hyperlink" Target="https://github.com/pixiv/three-vrm" TargetMode="External"/><Relationship Id="rId557" Type="http://schemas.openxmlformats.org/officeDocument/2006/relationships/hyperlink" Target="https://l7.antv.antgroup.com/" TargetMode="External"/><Relationship Id="rId764" Type="http://schemas.openxmlformats.org/officeDocument/2006/relationships/hyperlink" Target="https://stuk.github.io/jszip/" TargetMode="External"/><Relationship Id="rId971" Type="http://schemas.openxmlformats.org/officeDocument/2006/relationships/hyperlink" Target="https://johnny-five.io/" TargetMode="External"/><Relationship Id="rId196" Type="http://schemas.openxmlformats.org/officeDocument/2006/relationships/hyperlink" Target="https://github.com/locomotivemtl/locomotive-scroll" TargetMode="External"/><Relationship Id="rId417" Type="http://schemas.openxmlformats.org/officeDocument/2006/relationships/hyperlink" Target="https://leeoniya.github.io/uPlot/demos/index.html" TargetMode="External"/><Relationship Id="rId624" Type="http://schemas.openxmlformats.org/officeDocument/2006/relationships/hyperlink" Target="https://brain.js.org/" TargetMode="External"/><Relationship Id="rId831" Type="http://schemas.openxmlformats.org/officeDocument/2006/relationships/hyperlink" Target="https://sweetalert2.github.io/" TargetMode="External"/><Relationship Id="rId263" Type="http://schemas.openxmlformats.org/officeDocument/2006/relationships/hyperlink" Target="https://roughnotation.com/" TargetMode="External"/><Relationship Id="rId470" Type="http://schemas.openxmlformats.org/officeDocument/2006/relationships/hyperlink" Target="https://github.com/vasturiano/3d-force-graph" TargetMode="External"/><Relationship Id="rId929" Type="http://schemas.openxmlformats.org/officeDocument/2006/relationships/hyperlink" Target="https://www.fusejs.io/" TargetMode="External"/><Relationship Id="rId58" Type="http://schemas.openxmlformats.org/officeDocument/2006/relationships/hyperlink" Target="https://playground.babylonjs.com/" TargetMode="External"/><Relationship Id="rId123" Type="http://schemas.openxmlformats.org/officeDocument/2006/relationships/hyperlink" Target="https://www.theatrejs.com/docs/latest" TargetMode="External"/><Relationship Id="rId330" Type="http://schemas.openxmlformats.org/officeDocument/2006/relationships/hyperlink" Target="https://jrouwe.github.io/JoltPhysics.js/" TargetMode="External"/><Relationship Id="rId568" Type="http://schemas.openxmlformats.org/officeDocument/2006/relationships/hyperlink" Target="https://github.com/processing/p5.js-sound" TargetMode="External"/><Relationship Id="rId775" Type="http://schemas.openxmlformats.org/officeDocument/2006/relationships/hyperlink" Target="https://sli.dev/" TargetMode="External"/><Relationship Id="rId428" Type="http://schemas.openxmlformats.org/officeDocument/2006/relationships/hyperlink" Target="https://inorganik.github.io/countUp.js/" TargetMode="External"/><Relationship Id="rId635" Type="http://schemas.openxmlformats.org/officeDocument/2006/relationships/hyperlink" Target="https://platform.claude.com/docs/en/cli-sdks-libraries/overview" TargetMode="External"/><Relationship Id="rId842" Type="http://schemas.openxmlformats.org/officeDocument/2006/relationships/hyperlink" Target="https://github.com/gridstack/gridstack.js" TargetMode="External"/><Relationship Id="rId274" Type="http://schemas.openxmlformats.org/officeDocument/2006/relationships/hyperlink" Target="https://github.com/VincentGarreau/particles.js" TargetMode="External"/><Relationship Id="rId481" Type="http://schemas.openxmlformats.org/officeDocument/2006/relationships/hyperlink" Target="https://github.com/markmap/markmap" TargetMode="External"/><Relationship Id="rId702" Type="http://schemas.openxmlformats.org/officeDocument/2006/relationships/hyperlink" Target="https://github.com/scaleflex/filerobot-image-editor" TargetMode="External"/><Relationship Id="rId69" Type="http://schemas.openxmlformats.org/officeDocument/2006/relationships/hyperlink" Target="https://drei.docs.pmnd.rs/" TargetMode="External"/><Relationship Id="rId134" Type="http://schemas.openxmlformats.org/officeDocument/2006/relationships/hyperlink" Target="https://three-nebula.org/" TargetMode="External"/><Relationship Id="rId579" Type="http://schemas.openxmlformats.org/officeDocument/2006/relationships/hyperlink" Target="https://audiomotion.dev/demo/" TargetMode="External"/><Relationship Id="rId786" Type="http://schemas.openxmlformats.org/officeDocument/2006/relationships/hyperlink" Target="https://github.com/nilbuild/driver.js" TargetMode="External"/><Relationship Id="rId341" Type="http://schemas.openxmlformats.org/officeDocument/2006/relationships/hyperlink" Target="https://excaliburjs.com/" TargetMode="External"/><Relationship Id="rId439" Type="http://schemas.openxmlformats.org/officeDocument/2006/relationships/hyperlink" Target="https://github.com/pa7/heatmap.js" TargetMode="External"/><Relationship Id="rId646" Type="http://schemas.openxmlformats.org/officeDocument/2006/relationships/hyperlink" Target="https://github.com/google-ai-edge/mediapipe" TargetMode="External"/><Relationship Id="rId201" Type="http://schemas.openxmlformats.org/officeDocument/2006/relationships/hyperlink" Target="https://michalsnik.github.io/aos/" TargetMode="External"/><Relationship Id="rId285" Type="http://schemas.openxmlformats.org/officeDocument/2006/relationships/hyperlink" Target="https://trianglify.io/" TargetMode="External"/><Relationship Id="rId506" Type="http://schemas.openxmlformats.org/officeDocument/2006/relationships/hyperlink" Target="https://bpmn.io/toolkit/bpmn-js/" TargetMode="External"/><Relationship Id="rId853" Type="http://schemas.openxmlformats.org/officeDocument/2006/relationships/hyperlink" Target="https://lucide.dev/icons/" TargetMode="External"/><Relationship Id="rId492" Type="http://schemas.openxmlformats.org/officeDocument/2006/relationships/hyperlink" Target="https://jerosoler.github.io/Drawflow/" TargetMode="External"/><Relationship Id="rId713" Type="http://schemas.openxmlformats.org/officeDocument/2006/relationships/hyperlink" Target="https://github.com/google/marzipano" TargetMode="External"/><Relationship Id="rId797" Type="http://schemas.openxmlformats.org/officeDocument/2006/relationships/hyperlink" Target="https://jsxgraph.org/share/" TargetMode="External"/><Relationship Id="rId920" Type="http://schemas.openxmlformats.org/officeDocument/2006/relationships/hyperlink" Target="https://localforage.github.io/localForage/" TargetMode="External"/><Relationship Id="rId145" Type="http://schemas.openxmlformats.org/officeDocument/2006/relationships/hyperlink" Target="https://github.com/juliangarnier/anime" TargetMode="External"/><Relationship Id="rId352" Type="http://schemas.openxmlformats.org/officeDocument/2006/relationships/hyperlink" Target="https://github.com/straker/kontra" TargetMode="External"/><Relationship Id="rId212" Type="http://schemas.openxmlformats.org/officeDocument/2006/relationships/hyperlink" Target="https://github.com/wagerfield/parallax" TargetMode="External"/><Relationship Id="rId657" Type="http://schemas.openxmlformats.org/officeDocument/2006/relationships/hyperlink" Target="https://ar-js-org.github.io/AR.js-Docs/" TargetMode="External"/><Relationship Id="rId864" Type="http://schemas.openxmlformats.org/officeDocument/2006/relationships/hyperlink" Target="https://magicui.design/" TargetMode="External"/><Relationship Id="rId296" Type="http://schemas.openxmlformats.org/officeDocument/2006/relationships/hyperlink" Target="https://github.com/PavelDoGreat/WebGL-Fluid-Simulation" TargetMode="External"/><Relationship Id="rId517" Type="http://schemas.openxmlformats.org/officeDocument/2006/relationships/hyperlink" Target="https://github.com/frappe/gantt" TargetMode="External"/><Relationship Id="rId724" Type="http://schemas.openxmlformats.org/officeDocument/2006/relationships/hyperlink" Target="https://isotope.metafizzy.co/" TargetMode="External"/><Relationship Id="rId931" Type="http://schemas.openxmlformats.org/officeDocument/2006/relationships/hyperlink" Target="https://github.com/krisk/Fuse" TargetMode="External"/><Relationship Id="rId60" Type="http://schemas.openxmlformats.org/officeDocument/2006/relationships/hyperlink" Target="https://playcanvas.com/" TargetMode="External"/><Relationship Id="rId156" Type="http://schemas.openxmlformats.org/officeDocument/2006/relationships/hyperlink" Target="https://lottiefiles.com/featured" TargetMode="External"/><Relationship Id="rId363" Type="http://schemas.openxmlformats.org/officeDocument/2006/relationships/hyperlink" Target="https://qiao.github.io/PathFinding.js/visual/" TargetMode="External"/><Relationship Id="rId570" Type="http://schemas.openxmlformats.org/officeDocument/2006/relationships/hyperlink" Target="https://wavesurfer.xyz/examples/" TargetMode="External"/><Relationship Id="rId223" Type="http://schemas.openxmlformats.org/officeDocument/2006/relationships/hyperlink" Target="https://github.com/nolimits4web/atropos" TargetMode="External"/><Relationship Id="rId430" Type="http://schemas.openxmlformats.org/officeDocument/2006/relationships/hyperlink" Target="https://github.com/inorganik/countUp.js" TargetMode="External"/><Relationship Id="rId668" Type="http://schemas.openxmlformats.org/officeDocument/2006/relationships/hyperlink" Target="https://midrender.com/revideo" TargetMode="External"/><Relationship Id="rId875" Type="http://schemas.openxmlformats.org/officeDocument/2006/relationships/hyperlink" Target="https://codemirror.net/" TargetMode="External"/><Relationship Id="rId18" Type="http://schemas.openxmlformats.org/officeDocument/2006/relationships/hyperlink" Target="https://github.com/fabricjs/fabric.js" TargetMode="External"/><Relationship Id="rId528" Type="http://schemas.openxmlformats.org/officeDocument/2006/relationships/hyperlink" Target="https://leafletjs.com/examples.html" TargetMode="External"/><Relationship Id="rId735" Type="http://schemas.openxmlformats.org/officeDocument/2006/relationships/hyperlink" Target="https://github.com/parallax/jsPDF" TargetMode="External"/><Relationship Id="rId942" Type="http://schemas.openxmlformats.org/officeDocument/2006/relationships/hyperlink" Target="https://www.i18next.com/" TargetMode="External"/><Relationship Id="rId167" Type="http://schemas.openxmlformats.org/officeDocument/2006/relationships/hyperlink" Target="https://auto-animate.formkit.com/" TargetMode="External"/><Relationship Id="rId374" Type="http://schemas.openxmlformats.org/officeDocument/2006/relationships/hyperlink" Target="https://sfxr.me/" TargetMode="External"/><Relationship Id="rId581" Type="http://schemas.openxmlformats.org/officeDocument/2006/relationships/hyperlink" Target="https://butterchurnviz.com/" TargetMode="External"/><Relationship Id="rId71" Type="http://schemas.openxmlformats.org/officeDocument/2006/relationships/hyperlink" Target="https://github.com/pmndrs/drei" TargetMode="External"/><Relationship Id="rId234" Type="http://schemas.openxmlformats.org/officeDocument/2006/relationships/hyperlink" Target="https://flickity.metafizzy.co/" TargetMode="External"/><Relationship Id="rId679" Type="http://schemas.openxmlformats.org/officeDocument/2006/relationships/hyperlink" Target="https://jnordberg.github.io/gif.js/" TargetMode="External"/><Relationship Id="rId802" Type="http://schemas.openxmlformats.org/officeDocument/2006/relationships/hyperlink" Target="https://www.desmos.com/api" TargetMode="External"/><Relationship Id="rId886" Type="http://schemas.openxmlformats.org/officeDocument/2006/relationships/hyperlink" Target="https://github.com/PrismJS/prism" TargetMode="External"/><Relationship Id="rId2" Type="http://schemas.openxmlformats.org/officeDocument/2006/relationships/hyperlink" Target="https://p5js.org/examples/" TargetMode="External"/><Relationship Id="rId29" Type="http://schemas.openxmlformats.org/officeDocument/2006/relationships/hyperlink" Target="https://zzz.dog/getting-started" TargetMode="External"/><Relationship Id="rId441" Type="http://schemas.openxmlformats.org/officeDocument/2006/relationships/hyperlink" Target="https://timeline.knightlab.com/" TargetMode="External"/><Relationship Id="rId539" Type="http://schemas.openxmlformats.org/officeDocument/2006/relationships/hyperlink" Target="https://developers.google.com/maps/documentation/javascript" TargetMode="External"/><Relationship Id="rId746" Type="http://schemas.openxmlformats.org/officeDocument/2006/relationships/hyperlink" Target="https://gitbrent.github.io/PptxGenJS/" TargetMode="External"/><Relationship Id="rId178" Type="http://schemas.openxmlformats.org/officeDocument/2006/relationships/hyperlink" Target="https://github.com/swup/swup" TargetMode="External"/><Relationship Id="rId301" Type="http://schemas.openxmlformats.org/officeDocument/2006/relationships/hyperlink" Target="https://github.com/ruucm/shadergradient" TargetMode="External"/><Relationship Id="rId953" Type="http://schemas.openxmlformats.org/officeDocument/2006/relationships/hyperlink" Target="https://alpinejs.dev/" TargetMode="External"/><Relationship Id="rId82" Type="http://schemas.openxmlformats.org/officeDocument/2006/relationships/hyperlink" Target="https://regl-project.github.io/regl/www/gallery.html" TargetMode="External"/><Relationship Id="rId385" Type="http://schemas.openxmlformats.org/officeDocument/2006/relationships/hyperlink" Target="https://github.com/apache/echarts" TargetMode="External"/><Relationship Id="rId592" Type="http://schemas.openxmlformats.org/officeDocument/2006/relationships/hyperlink" Target="https://github.com/vexflow/vexflow" TargetMode="External"/><Relationship Id="rId606" Type="http://schemas.openxmlformats.org/officeDocument/2006/relationships/hyperlink" Target="https://gibber.cc/" TargetMode="External"/><Relationship Id="rId813" Type="http://schemas.openxmlformats.org/officeDocument/2006/relationships/hyperlink" Target="https://3dmol.csb.pitt.edu/" TargetMode="External"/><Relationship Id="rId245" Type="http://schemas.openxmlformats.org/officeDocument/2006/relationships/hyperlink" Target="https://github.com/lukePeavey/SplitType" TargetMode="External"/><Relationship Id="rId452" Type="http://schemas.openxmlformats.org/officeDocument/2006/relationships/hyperlink" Target="https://datatables.net/" TargetMode="External"/><Relationship Id="rId897" Type="http://schemas.openxmlformats.org/officeDocument/2006/relationships/hyperlink" Target="https://tiptap.dev/" TargetMode="External"/><Relationship Id="rId105" Type="http://schemas.openxmlformats.org/officeDocument/2006/relationships/hyperlink" Target="https://www.curtainsjs.com/examples/multiple-planes-scroll-effect/index.html" TargetMode="External"/><Relationship Id="rId312" Type="http://schemas.openxmlformats.org/officeDocument/2006/relationships/hyperlink" Target="https://brm.io/matter-js/demo/" TargetMode="External"/><Relationship Id="rId757" Type="http://schemas.openxmlformats.org/officeDocument/2006/relationships/hyperlink" Target="https://github.com/kozakdenys/qr-code-styling" TargetMode="External"/><Relationship Id="rId964" Type="http://schemas.openxmlformats.org/officeDocument/2006/relationships/hyperlink" Target="https://github.com/preactjs/preact" TargetMode="External"/><Relationship Id="rId93" Type="http://schemas.openxmlformats.org/officeDocument/2006/relationships/hyperlink" Target="https://spline.design/" TargetMode="External"/><Relationship Id="rId189" Type="http://schemas.openxmlformats.org/officeDocument/2006/relationships/hyperlink" Target="https://gsap.com/scroll/" TargetMode="External"/><Relationship Id="rId396" Type="http://schemas.openxmlformats.org/officeDocument/2006/relationships/hyperlink" Target="https://recharts.github.io/en-US/examples" TargetMode="External"/><Relationship Id="rId617" Type="http://schemas.openxmlformats.org/officeDocument/2006/relationships/hyperlink" Target="https://onnxruntime.ai/docs/tutorials/web/" TargetMode="External"/><Relationship Id="rId824" Type="http://schemas.openxmlformats.org/officeDocument/2006/relationships/hyperlink" Target="https://github.com/hammerjs/hammer.js" TargetMode="External"/><Relationship Id="rId256" Type="http://schemas.openxmlformats.org/officeDocument/2006/relationships/hyperlink" Target="https://github.com/peterhry/CircleType" TargetMode="External"/><Relationship Id="rId463" Type="http://schemas.openxmlformats.org/officeDocument/2006/relationships/hyperlink" Target="https://github.com/visjs/vis-network" TargetMode="External"/><Relationship Id="rId670" Type="http://schemas.openxmlformats.org/officeDocument/2006/relationships/hyperlink" Target="https://github.com/midrender/revideo" TargetMode="External"/><Relationship Id="rId116" Type="http://schemas.openxmlformats.org/officeDocument/2006/relationships/hyperlink" Target="https://cesium.com/platform/cesiumjs/" TargetMode="External"/><Relationship Id="rId323" Type="http://schemas.openxmlformats.org/officeDocument/2006/relationships/hyperlink" Target="https://rapier.rs/" TargetMode="External"/><Relationship Id="rId530" Type="http://schemas.openxmlformats.org/officeDocument/2006/relationships/hyperlink" Target="https://maplibre.org/" TargetMode="External"/><Relationship Id="rId768" Type="http://schemas.openxmlformats.org/officeDocument/2006/relationships/hyperlink" Target="https://github.com/eligrey/FileSaver.js" TargetMode="External"/><Relationship Id="rId975" Type="http://schemas.openxmlformats.org/officeDocument/2006/relationships/hyperlink" Target="https://editor.p5js.org/gohai/sketches" TargetMode="External"/><Relationship Id="rId20" Type="http://schemas.openxmlformats.org/officeDocument/2006/relationships/hyperlink" Target="https://pixijs.com/8.x/examples" TargetMode="External"/><Relationship Id="rId628" Type="http://schemas.openxmlformats.org/officeDocument/2006/relationships/hyperlink" Target="https://github.com/googlecreativelab/teachablemachine-community" TargetMode="External"/><Relationship Id="rId835" Type="http://schemas.openxmlformats.org/officeDocument/2006/relationships/hyperlink" Target="https://apvarun.github.io/toastify-js/" TargetMode="External"/><Relationship Id="rId267" Type="http://schemas.openxmlformats.org/officeDocument/2006/relationships/hyperlink" Target="https://marked.js.org/demo/" TargetMode="External"/><Relationship Id="rId474" Type="http://schemas.openxmlformats.org/officeDocument/2006/relationships/hyperlink" Target="https://g6.antv.antgroup.com/examples" TargetMode="External"/><Relationship Id="rId127" Type="http://schemas.openxmlformats.org/officeDocument/2006/relationships/hyperlink" Target="https://github.com/georgealways/lil-gui" TargetMode="External"/><Relationship Id="rId681" Type="http://schemas.openxmlformats.org/officeDocument/2006/relationships/hyperlink" Target="https://github.com/jnordberg/gif.js" TargetMode="External"/><Relationship Id="rId779" Type="http://schemas.openxmlformats.org/officeDocument/2006/relationships/hyperlink" Target="https://marp.app/" TargetMode="External"/><Relationship Id="rId902" Type="http://schemas.openxmlformats.org/officeDocument/2006/relationships/hyperlink" Target="https://socket.io/" TargetMode="External"/><Relationship Id="rId31" Type="http://schemas.openxmlformats.org/officeDocument/2006/relationships/hyperlink" Target="https://svgjs.dev/" TargetMode="External"/><Relationship Id="rId334" Type="http://schemas.openxmlformats.org/officeDocument/2006/relationships/hyperlink" Target="https://github.com/lo-th/Oimo.js" TargetMode="External"/><Relationship Id="rId541" Type="http://schemas.openxmlformats.org/officeDocument/2006/relationships/hyperlink" Target="https://github.com/googlemaps/js-samples" TargetMode="External"/><Relationship Id="rId639" Type="http://schemas.openxmlformats.org/officeDocument/2006/relationships/hyperlink" Target="https://ai-sdk.dev/" TargetMode="External"/><Relationship Id="rId180" Type="http://schemas.openxmlformats.org/officeDocument/2006/relationships/hyperlink" Target="https://thednp.github.io/kute.js/" TargetMode="External"/><Relationship Id="rId278" Type="http://schemas.openxmlformats.org/officeDocument/2006/relationships/hyperlink" Target="https://www.vantajs.com/" TargetMode="External"/><Relationship Id="rId401" Type="http://schemas.openxmlformats.org/officeDocument/2006/relationships/hyperlink" Target="https://nearform.com/open-source/victory/" TargetMode="External"/><Relationship Id="rId846" Type="http://schemas.openxmlformats.org/officeDocument/2006/relationships/hyperlink" Target="https://nextapps-de.github.io/winbox/" TargetMode="External"/><Relationship Id="rId485" Type="http://schemas.openxmlformats.org/officeDocument/2006/relationships/hyperlink" Target="https://github.com/hizzgdev/jsmind" TargetMode="External"/><Relationship Id="rId692" Type="http://schemas.openxmlformats.org/officeDocument/2006/relationships/hyperlink" Target="https://html2canvas.hertzen.com/" TargetMode="External"/><Relationship Id="rId706" Type="http://schemas.openxmlformats.org/officeDocument/2006/relationships/hyperlink" Target="https://photo-sphere-viewer.js.org/demos/" TargetMode="External"/><Relationship Id="rId913" Type="http://schemas.openxmlformats.org/officeDocument/2006/relationships/hyperlink" Target="https://github.com/firebase/firebase-js-sdk" TargetMode="External"/><Relationship Id="rId42" Type="http://schemas.openxmlformats.org/officeDocument/2006/relationships/hyperlink" Target="https://github.com/hydra-synth/hydra" TargetMode="External"/><Relationship Id="rId138" Type="http://schemas.openxmlformats.org/officeDocument/2006/relationships/hyperlink" Target="https://mrdoob.github.io/stats.js/" TargetMode="External"/><Relationship Id="rId345" Type="http://schemas.openxmlformats.org/officeDocument/2006/relationships/hyperlink" Target="https://melonjs.org/" TargetMode="External"/><Relationship Id="rId552" Type="http://schemas.openxmlformats.org/officeDocument/2006/relationships/hyperlink" Target="https://turfjs.org/" TargetMode="External"/><Relationship Id="rId191" Type="http://schemas.openxmlformats.org/officeDocument/2006/relationships/hyperlink" Target="https://lenis.dev/" TargetMode="External"/><Relationship Id="rId205" Type="http://schemas.openxmlformats.org/officeDocument/2006/relationships/hyperlink" Target="https://github.com/jlmakes/scrollreveal" TargetMode="External"/><Relationship Id="rId412" Type="http://schemas.openxmlformats.org/officeDocument/2006/relationships/hyperlink" Target="https://github.com/antvis/G2" TargetMode="External"/><Relationship Id="rId857" Type="http://schemas.openxmlformats.org/officeDocument/2006/relationships/hyperlink" Target="https://github.com/iconify/iconify" TargetMode="External"/><Relationship Id="rId289" Type="http://schemas.openxmlformats.org/officeDocument/2006/relationships/hyperlink" Target="https://github.com/catdad/canvas-confetti" TargetMode="External"/><Relationship Id="rId496" Type="http://schemas.openxmlformats.org/officeDocument/2006/relationships/hyperlink" Target="https://github.com/jagenjo/litegraph.js" TargetMode="External"/><Relationship Id="rId717" Type="http://schemas.openxmlformats.org/officeDocument/2006/relationships/hyperlink" Target="https://biati-digital.github.io/glightbox/" TargetMode="External"/><Relationship Id="rId924" Type="http://schemas.openxmlformats.org/officeDocument/2006/relationships/hyperlink" Target="https://sql.js.org/examples/GUI/" TargetMode="External"/><Relationship Id="rId53" Type="http://schemas.openxmlformats.org/officeDocument/2006/relationships/hyperlink" Target="https://github.com/veltman/flubber" TargetMode="External"/><Relationship Id="rId149" Type="http://schemas.openxmlformats.org/officeDocument/2006/relationships/hyperlink" Target="https://www.react-spring.dev/" TargetMode="External"/><Relationship Id="rId356" Type="http://schemas.openxmlformats.org/officeDocument/2006/relationships/hyperlink" Target="https://gdevelop.io/" TargetMode="External"/><Relationship Id="rId563" Type="http://schemas.openxmlformats.org/officeDocument/2006/relationships/hyperlink" Target="https://howlerjs.com/" TargetMode="External"/><Relationship Id="rId770" Type="http://schemas.openxmlformats.org/officeDocument/2006/relationships/hyperlink" Target="https://revealjs.com/demo/" TargetMode="External"/><Relationship Id="rId216" Type="http://schemas.openxmlformats.org/officeDocument/2006/relationships/hyperlink" Target="https://alvarotrigo.com/fullPage/" TargetMode="External"/><Relationship Id="rId423" Type="http://schemas.openxmlformats.org/officeDocument/2006/relationships/hyperlink" Target="https://frappe.github.io/charts/" TargetMode="External"/><Relationship Id="rId868" Type="http://schemas.openxmlformats.org/officeDocument/2006/relationships/hyperlink" Target="https://github.com/DavidHDev/react-bits" TargetMode="External"/><Relationship Id="rId630" Type="http://schemas.openxmlformats.org/officeDocument/2006/relationships/hyperlink" Target="https://tesseract.projectnaptha.com/" TargetMode="External"/><Relationship Id="rId728" Type="http://schemas.openxmlformats.org/officeDocument/2006/relationships/hyperlink" Target="https://github.com/szimek/signature_pad" TargetMode="External"/><Relationship Id="rId935" Type="http://schemas.openxmlformats.org/officeDocument/2006/relationships/hyperlink" Target="https://lodash.com/" TargetMode="External"/><Relationship Id="rId64" Type="http://schemas.openxmlformats.org/officeDocument/2006/relationships/hyperlink" Target="https://aframe.io/examples/" TargetMode="External"/><Relationship Id="rId367" Type="http://schemas.openxmlformats.org/officeDocument/2006/relationships/hyperlink" Target="https://github.com/boardgameio/boardgame.io" TargetMode="External"/><Relationship Id="rId574" Type="http://schemas.openxmlformats.org/officeDocument/2006/relationships/hyperlink" Target="https://codeberg.org/uzu/strudel" TargetMode="External"/><Relationship Id="rId227" Type="http://schemas.openxmlformats.org/officeDocument/2006/relationships/hyperlink" Target="https://splidejs.com/" TargetMode="External"/><Relationship Id="rId781" Type="http://schemas.openxmlformats.org/officeDocument/2006/relationships/hyperlink" Target="https://shepherdjs.dev/" TargetMode="External"/><Relationship Id="rId879" Type="http://schemas.openxmlformats.org/officeDocument/2006/relationships/hyperlink" Target="https://microsoft.github.io/monaco-editor/playground.html" TargetMode="External"/><Relationship Id="rId434" Type="http://schemas.openxmlformats.org/officeDocument/2006/relationships/hyperlink" Target="https://wordcloud2-js.timdream.org/" TargetMode="External"/><Relationship Id="rId641" Type="http://schemas.openxmlformats.org/officeDocument/2006/relationships/hyperlink" Target="https://docs.langchain.com/oss/javascript/langchain/overview" TargetMode="External"/><Relationship Id="rId739" Type="http://schemas.openxmlformats.org/officeDocument/2006/relationships/hyperlink" Target="https://pdf-lib.js.org/" TargetMode="External"/><Relationship Id="rId280" Type="http://schemas.openxmlformats.org/officeDocument/2006/relationships/hyperlink" Target="https://github.com/tengbao/vanta" TargetMode="External"/><Relationship Id="rId501" Type="http://schemas.openxmlformats.org/officeDocument/2006/relationships/hyperlink" Target="https://www.jointjs.com/demos" TargetMode="External"/><Relationship Id="rId946" Type="http://schemas.openxmlformats.org/officeDocument/2006/relationships/hyperlink" Target="https://github.com/react/react" TargetMode="External"/><Relationship Id="rId75" Type="http://schemas.openxmlformats.org/officeDocument/2006/relationships/hyperlink" Target="https://tresjs.org/" TargetMode="External"/><Relationship Id="rId140" Type="http://schemas.openxmlformats.org/officeDocument/2006/relationships/hyperlink" Target="https://gsap.com/" TargetMode="External"/><Relationship Id="rId378" Type="http://schemas.openxmlformats.org/officeDocument/2006/relationships/hyperlink" Target="https://observablehq.com/@d3/gallery" TargetMode="External"/><Relationship Id="rId585" Type="http://schemas.openxmlformats.org/officeDocument/2006/relationships/hyperlink" Target="https://magenta.tensorflow.org/demos" TargetMode="External"/><Relationship Id="rId792" Type="http://schemas.openxmlformats.org/officeDocument/2006/relationships/hyperlink" Target="https://github.com/KaTeX/KaTeX" TargetMode="External"/><Relationship Id="rId806" Type="http://schemas.openxmlformats.org/officeDocument/2006/relationships/hyperlink" Target="https://github.com/mauriciopoppe/function-plot" TargetMode="External"/><Relationship Id="rId6" Type="http://schemas.openxmlformats.org/officeDocument/2006/relationships/hyperlink" Target="https://github.com/q5js/q5.js" TargetMode="External"/><Relationship Id="rId238" Type="http://schemas.openxmlformats.org/officeDocument/2006/relationships/hyperlink" Target="https://github.com/mattboldt/typed.js" TargetMode="External"/><Relationship Id="rId445" Type="http://schemas.openxmlformats.org/officeDocument/2006/relationships/hyperlink" Target="https://github.com/tabulator-tables/tabulator" TargetMode="External"/><Relationship Id="rId652" Type="http://schemas.openxmlformats.org/officeDocument/2006/relationships/hyperlink" Target="https://github.com/opencv/opencv" TargetMode="External"/><Relationship Id="rId291" Type="http://schemas.openxmlformats.org/officeDocument/2006/relationships/hyperlink" Target="https://loonywizard.github.io/js-confetti/" TargetMode="External"/><Relationship Id="rId305" Type="http://schemas.openxmlformats.org/officeDocument/2006/relationships/hyperlink" Target="https://github.com/robin-dela/hover-effect" TargetMode="External"/><Relationship Id="rId512" Type="http://schemas.openxmlformats.org/officeDocument/2006/relationships/hyperlink" Target="https://tldraw.dev/" TargetMode="External"/><Relationship Id="rId957" Type="http://schemas.openxmlformats.org/officeDocument/2006/relationships/hyperlink" Target="https://htmx.org/examples/" TargetMode="External"/><Relationship Id="rId86" Type="http://schemas.openxmlformats.org/officeDocument/2006/relationships/hyperlink" Target="https://github.com/greggman/twgl.js" TargetMode="External"/><Relationship Id="rId151" Type="http://schemas.openxmlformats.org/officeDocument/2006/relationships/hyperlink" Target="https://github.com/pmndrs/react-spring" TargetMode="External"/><Relationship Id="rId389" Type="http://schemas.openxmlformats.org/officeDocument/2006/relationships/hyperlink" Target="https://www.highcharts.com/" TargetMode="External"/><Relationship Id="rId596" Type="http://schemas.openxmlformats.org/officeDocument/2006/relationships/hyperlink" Target="https://webmidijs.org/" TargetMode="External"/><Relationship Id="rId817" Type="http://schemas.openxmlformats.org/officeDocument/2006/relationships/hyperlink" Target="https://sortablejs.github.io/Sortable/" TargetMode="External"/><Relationship Id="rId249" Type="http://schemas.openxmlformats.org/officeDocument/2006/relationships/hyperlink" Target="https://camwiegert.github.io/baffle/" TargetMode="External"/><Relationship Id="rId456" Type="http://schemas.openxmlformats.org/officeDocument/2006/relationships/hyperlink" Target="https://js.cytoscape.org/" TargetMode="External"/><Relationship Id="rId663" Type="http://schemas.openxmlformats.org/officeDocument/2006/relationships/hyperlink" Target="https://www.remotion.dev/showcase" TargetMode="External"/><Relationship Id="rId870" Type="http://schemas.openxmlformats.org/officeDocument/2006/relationships/hyperlink" Target="https://webawesome.com/docs/components/" TargetMode="External"/><Relationship Id="rId13" Type="http://schemas.openxmlformats.org/officeDocument/2006/relationships/hyperlink" Target="https://konvajs.org/" TargetMode="External"/><Relationship Id="rId109" Type="http://schemas.openxmlformats.org/officeDocument/2006/relationships/hyperlink" Target="https://github.com/gpujs/gpu.js" TargetMode="External"/><Relationship Id="rId316" Type="http://schemas.openxmlformats.org/officeDocument/2006/relationships/hyperlink" Target="https://github.com/piqnt/planck.js" TargetMode="External"/><Relationship Id="rId523" Type="http://schemas.openxmlformats.org/officeDocument/2006/relationships/hyperlink" Target="https://github.com/skanaar/nomnoml" TargetMode="External"/><Relationship Id="rId968" Type="http://schemas.openxmlformats.org/officeDocument/2006/relationships/hyperlink" Target="https://tailwindcss.com/" TargetMode="External"/><Relationship Id="rId97" Type="http://schemas.openxmlformats.org/officeDocument/2006/relationships/hyperlink" Target="https://engine.needle.tools/samples/" TargetMode="External"/><Relationship Id="rId730" Type="http://schemas.openxmlformats.org/officeDocument/2006/relationships/hyperlink" Target="https://img-comparison-slider.sneas.io/" TargetMode="External"/><Relationship Id="rId828" Type="http://schemas.openxmlformats.org/officeDocument/2006/relationships/hyperlink" Target="https://floating-ui.com/" TargetMode="External"/><Relationship Id="rId162" Type="http://schemas.openxmlformats.org/officeDocument/2006/relationships/hyperlink" Target="https://rive.app/marketplace/" TargetMode="External"/><Relationship Id="rId467" Type="http://schemas.openxmlformats.org/officeDocument/2006/relationships/hyperlink" Target="https://github.com/vasturiano/force-graph" TargetMode="External"/><Relationship Id="rId674" Type="http://schemas.openxmlformats.org/officeDocument/2006/relationships/hyperlink" Target="https://mediabunny.dev/" TargetMode="External"/><Relationship Id="rId881" Type="http://schemas.openxmlformats.org/officeDocument/2006/relationships/hyperlink" Target="https://highlightjs.org/" TargetMode="External"/><Relationship Id="rId24" Type="http://schemas.openxmlformats.org/officeDocument/2006/relationships/hyperlink" Target="https://github.com/CreateJS/EaselJS" TargetMode="External"/><Relationship Id="rId327" Type="http://schemas.openxmlformats.org/officeDocument/2006/relationships/hyperlink" Target="https://threejs.org/examples/?q=physics" TargetMode="External"/><Relationship Id="rId534" Type="http://schemas.openxmlformats.org/officeDocument/2006/relationships/hyperlink" Target="https://docs.mapbox.com/mapbox-gl-js/example/" TargetMode="External"/><Relationship Id="rId741" Type="http://schemas.openxmlformats.org/officeDocument/2006/relationships/hyperlink" Target="https://sheetjs.com/" TargetMode="External"/><Relationship Id="rId839" Type="http://schemas.openxmlformats.org/officeDocument/2006/relationships/hyperlink" Target="https://github.com/flatpickr/flatpickr" TargetMode="External"/><Relationship Id="rId173" Type="http://schemas.openxmlformats.org/officeDocument/2006/relationships/hyperlink" Target="https://barba.js.org/" TargetMode="External"/><Relationship Id="rId380" Type="http://schemas.openxmlformats.org/officeDocument/2006/relationships/hyperlink" Target="https://www.chartjs.org/" TargetMode="External"/><Relationship Id="rId601" Type="http://schemas.openxmlformats.org/officeDocument/2006/relationships/hyperlink" Target="https://github.com/tonaljs/tonal" TargetMode="External"/><Relationship Id="rId240" Type="http://schemas.openxmlformats.org/officeDocument/2006/relationships/hyperlink" Target="https://www.typeitjs.com/" TargetMode="External"/><Relationship Id="rId478" Type="http://schemas.openxmlformats.org/officeDocument/2006/relationships/hyperlink" Target="https://github.com/mermaid-js/mermaid" TargetMode="External"/><Relationship Id="rId685" Type="http://schemas.openxmlformats.org/officeDocument/2006/relationships/hyperlink" Target="https://plyr.io/" TargetMode="External"/><Relationship Id="rId892" Type="http://schemas.openxmlformats.org/officeDocument/2006/relationships/hyperlink" Target="https://github.com/xtermjs/xterm.js" TargetMode="External"/><Relationship Id="rId906" Type="http://schemas.openxmlformats.org/officeDocument/2006/relationships/hyperlink" Target="https://peerjs.com/" TargetMode="External"/><Relationship Id="rId35" Type="http://schemas.openxmlformats.org/officeDocument/2006/relationships/hyperlink" Target="http://snapsvg.io/demos/" TargetMode="External"/><Relationship Id="rId100" Type="http://schemas.openxmlformats.org/officeDocument/2006/relationships/hyperlink" Target="https://github.com/shader-park/shader-park-core" TargetMode="External"/><Relationship Id="rId338" Type="http://schemas.openxmlformats.org/officeDocument/2006/relationships/hyperlink" Target="https://kaplayjs.com/" TargetMode="External"/><Relationship Id="rId545" Type="http://schemas.openxmlformats.org/officeDocument/2006/relationships/hyperlink" Target="https://deck.gl/" TargetMode="External"/><Relationship Id="rId752" Type="http://schemas.openxmlformats.org/officeDocument/2006/relationships/hyperlink" Target="https://www.papaparse.com/" TargetMode="External"/><Relationship Id="rId184" Type="http://schemas.openxmlformats.org/officeDocument/2006/relationships/hyperlink" Target="https://github.com/daybrush/scenejs" TargetMode="External"/><Relationship Id="rId391" Type="http://schemas.openxmlformats.org/officeDocument/2006/relationships/hyperlink" Target="https://github.com/highcharts/highcharts" TargetMode="External"/><Relationship Id="rId405" Type="http://schemas.openxmlformats.org/officeDocument/2006/relationships/hyperlink" Target="https://vega.github.io/vega-lite/examples/" TargetMode="External"/><Relationship Id="rId612" Type="http://schemas.openxmlformats.org/officeDocument/2006/relationships/hyperlink" Target="https://www.tensorflow.org/js/demos" TargetMode="External"/><Relationship Id="rId251" Type="http://schemas.openxmlformats.org/officeDocument/2006/relationships/hyperlink" Target="https://blotter.js.org/" TargetMode="External"/><Relationship Id="rId489" Type="http://schemas.openxmlformats.org/officeDocument/2006/relationships/hyperlink" Target="https://reactflow.dev/examples" TargetMode="External"/><Relationship Id="rId696" Type="http://schemas.openxmlformats.org/officeDocument/2006/relationships/hyperlink" Target="https://fengyuanchen.github.io/cropperjs/" TargetMode="External"/><Relationship Id="rId917" Type="http://schemas.openxmlformats.org/officeDocument/2006/relationships/hyperlink" Target="https://dexie.org/" TargetMode="External"/><Relationship Id="rId46" Type="http://schemas.openxmlformats.org/officeDocument/2006/relationships/hyperlink" Target="https://github.com/jwagner/simplex-noise.js" TargetMode="External"/><Relationship Id="rId349" Type="http://schemas.openxmlformats.org/officeDocument/2006/relationships/hyperlink" Target="https://github.com/KilledByAPixel/LittleJS" TargetMode="External"/><Relationship Id="rId556" Type="http://schemas.openxmlformats.org/officeDocument/2006/relationships/hyperlink" Target="https://github.com/Esri/jsapi-resources" TargetMode="External"/><Relationship Id="rId763" Type="http://schemas.openxmlformats.org/officeDocument/2006/relationships/hyperlink" Target="https://github.com/mebjas/html5-qrcode" TargetMode="External"/><Relationship Id="rId111" Type="http://schemas.openxmlformats.org/officeDocument/2006/relationships/hyperlink" Target="https://pixiv.github.io/three-vrm/packages/three-vrm/examples/basic.html" TargetMode="External"/><Relationship Id="rId195" Type="http://schemas.openxmlformats.org/officeDocument/2006/relationships/hyperlink" Target="https://scroll.locomotive.ca/" TargetMode="External"/><Relationship Id="rId209" Type="http://schemas.openxmlformats.org/officeDocument/2006/relationships/hyperlink" Target="https://dixonandmoe.com/rellax/" TargetMode="External"/><Relationship Id="rId416" Type="http://schemas.openxmlformats.org/officeDocument/2006/relationships/hyperlink" Target="https://github.com/leeoniya/uPlot" TargetMode="External"/><Relationship Id="rId970" Type="http://schemas.openxmlformats.org/officeDocument/2006/relationships/hyperlink" Target="https://github.com/tailwindlabs/tailwindcss" TargetMode="External"/><Relationship Id="rId623" Type="http://schemas.openxmlformats.org/officeDocument/2006/relationships/hyperlink" Target="https://brain.js.org/" TargetMode="External"/><Relationship Id="rId830" Type="http://schemas.openxmlformats.org/officeDocument/2006/relationships/hyperlink" Target="https://github.com/floating-ui/floating-ui" TargetMode="External"/><Relationship Id="rId928" Type="http://schemas.openxmlformats.org/officeDocument/2006/relationships/hyperlink" Target="https://github.com/duckdb/duckdb-wasm" TargetMode="External"/><Relationship Id="rId57" Type="http://schemas.openxmlformats.org/officeDocument/2006/relationships/hyperlink" Target="https://www.babylonjs.com/" TargetMode="External"/><Relationship Id="rId262" Type="http://schemas.openxmlformats.org/officeDocument/2006/relationships/hyperlink" Target="https://github.com/opentypejs/opentype.js" TargetMode="External"/><Relationship Id="rId567" Type="http://schemas.openxmlformats.org/officeDocument/2006/relationships/hyperlink" Target="https://p5js.org/examples/" TargetMode="External"/><Relationship Id="rId122" Type="http://schemas.openxmlformats.org/officeDocument/2006/relationships/hyperlink" Target="https://www.theatrejs.com/" TargetMode="External"/><Relationship Id="rId774" Type="http://schemas.openxmlformats.org/officeDocument/2006/relationships/hyperlink" Target="https://github.com/impress/impress.js" TargetMode="External"/><Relationship Id="rId427" Type="http://schemas.openxmlformats.org/officeDocument/2006/relationships/hyperlink" Target="https://github.com/amcharts/amcharts5" TargetMode="External"/><Relationship Id="rId634" Type="http://schemas.openxmlformats.org/officeDocument/2006/relationships/hyperlink" Target="https://github.com/spencermountain/compromise" TargetMode="External"/><Relationship Id="rId841" Type="http://schemas.openxmlformats.org/officeDocument/2006/relationships/hyperlink" Target="https://gridstackjs.com/demo/" TargetMode="External"/><Relationship Id="rId273" Type="http://schemas.openxmlformats.org/officeDocument/2006/relationships/hyperlink" Target="https://vincentgarreau.com/particles.js/" TargetMode="External"/><Relationship Id="rId480" Type="http://schemas.openxmlformats.org/officeDocument/2006/relationships/hyperlink" Target="https://markmap.js.org/repl" TargetMode="External"/><Relationship Id="rId701" Type="http://schemas.openxmlformats.org/officeDocument/2006/relationships/hyperlink" Target="https://github.com/evanw/glfx.js" TargetMode="External"/><Relationship Id="rId939" Type="http://schemas.openxmlformats.org/officeDocument/2006/relationships/hyperlink" Target="https://zod.dev/" TargetMode="External"/><Relationship Id="rId68" Type="http://schemas.openxmlformats.org/officeDocument/2006/relationships/hyperlink" Target="https://github.com/pmndrs/react-three-fiber" TargetMode="External"/><Relationship Id="rId133" Type="http://schemas.openxmlformats.org/officeDocument/2006/relationships/hyperlink" Target="https://github.com/protectwise/troika" TargetMode="External"/><Relationship Id="rId340" Type="http://schemas.openxmlformats.org/officeDocument/2006/relationships/hyperlink" Target="https://github.com/kaplayjs/kaplay" TargetMode="External"/><Relationship Id="rId578" Type="http://schemas.openxmlformats.org/officeDocument/2006/relationships/hyperlink" Target="https://audiomotion.dev/" TargetMode="External"/><Relationship Id="rId785" Type="http://schemas.openxmlformats.org/officeDocument/2006/relationships/hyperlink" Target="https://driverjs.com/" TargetMode="External"/><Relationship Id="rId200" Type="http://schemas.openxmlformats.org/officeDocument/2006/relationships/hyperlink" Target="https://michalsnik.github.io/aos/" TargetMode="External"/><Relationship Id="rId438" Type="http://schemas.openxmlformats.org/officeDocument/2006/relationships/hyperlink" Target="https://www.patrick-wied.at/static/heatmapjs/examples.html" TargetMode="External"/><Relationship Id="rId645" Type="http://schemas.openxmlformats.org/officeDocument/2006/relationships/hyperlink" Target="https://developers.google.com/edge/mediapipe/solutions/vision/hand_landmarker" TargetMode="External"/><Relationship Id="rId852" Type="http://schemas.openxmlformats.org/officeDocument/2006/relationships/hyperlink" Target="https://lucide.dev/" TargetMode="External"/><Relationship Id="rId284" Type="http://schemas.openxmlformats.org/officeDocument/2006/relationships/hyperlink" Target="https://trianglify.io/" TargetMode="External"/><Relationship Id="rId491" Type="http://schemas.openxmlformats.org/officeDocument/2006/relationships/hyperlink" Target="https://github.com/jerosoler/Drawflow" TargetMode="External"/><Relationship Id="rId505" Type="http://schemas.openxmlformats.org/officeDocument/2006/relationships/hyperlink" Target="https://github.com/NorthwoodsSoftware/GoJS" TargetMode="External"/><Relationship Id="rId712" Type="http://schemas.openxmlformats.org/officeDocument/2006/relationships/hyperlink" Target="https://www.marzipano.net/demos.html" TargetMode="External"/><Relationship Id="rId79" Type="http://schemas.openxmlformats.org/officeDocument/2006/relationships/hyperlink" Target="https://oframe.github.io/ogl/examples/" TargetMode="External"/><Relationship Id="rId144" Type="http://schemas.openxmlformats.org/officeDocument/2006/relationships/hyperlink" Target="https://animejs.com/documentation/" TargetMode="External"/><Relationship Id="rId589" Type="http://schemas.openxmlformats.org/officeDocument/2006/relationships/hyperlink" Target="https://github.com/paulrosen/abcjs" TargetMode="External"/><Relationship Id="rId796" Type="http://schemas.openxmlformats.org/officeDocument/2006/relationships/hyperlink" Target="https://jsxgraph.org/" TargetMode="External"/><Relationship Id="rId351" Type="http://schemas.openxmlformats.org/officeDocument/2006/relationships/hyperlink" Target="https://straker.github.io/kontra/" TargetMode="External"/><Relationship Id="rId449" Type="http://schemas.openxmlformats.org/officeDocument/2006/relationships/hyperlink" Target="https://gridjs.io/" TargetMode="External"/><Relationship Id="rId656" Type="http://schemas.openxmlformats.org/officeDocument/2006/relationships/hyperlink" Target="https://ar-js-org.github.io/AR.js-Docs/" TargetMode="External"/><Relationship Id="rId863" Type="http://schemas.openxmlformats.org/officeDocument/2006/relationships/hyperlink" Target="https://magicui.design/" TargetMode="External"/><Relationship Id="rId211" Type="http://schemas.openxmlformats.org/officeDocument/2006/relationships/hyperlink" Target="https://github.com/dixonandmoe/rellax" TargetMode="External"/><Relationship Id="rId295" Type="http://schemas.openxmlformats.org/officeDocument/2006/relationships/hyperlink" Target="https://github.com/crashmax-dev/fireworks-js" TargetMode="External"/><Relationship Id="rId309" Type="http://schemas.openxmlformats.org/officeDocument/2006/relationships/hyperlink" Target="https://tholman.com/cursor-effects/" TargetMode="External"/><Relationship Id="rId516" Type="http://schemas.openxmlformats.org/officeDocument/2006/relationships/hyperlink" Target="https://frappe.io/gantt" TargetMode="External"/><Relationship Id="rId723" Type="http://schemas.openxmlformats.org/officeDocument/2006/relationships/hyperlink" Target="https://isotope.metafizzy.co/" TargetMode="External"/><Relationship Id="rId930" Type="http://schemas.openxmlformats.org/officeDocument/2006/relationships/hyperlink" Target="https://www.fusejs.io/demo.html" TargetMode="External"/><Relationship Id="rId155" Type="http://schemas.openxmlformats.org/officeDocument/2006/relationships/hyperlink" Target="https://lottie.airbnb.tech/" TargetMode="External"/><Relationship Id="rId362" Type="http://schemas.openxmlformats.org/officeDocument/2006/relationships/hyperlink" Target="https://github.com/qiao/PathFinding.js" TargetMode="External"/><Relationship Id="rId222" Type="http://schemas.openxmlformats.org/officeDocument/2006/relationships/hyperlink" Target="https://atroposjs.com/" TargetMode="External"/><Relationship Id="rId667" Type="http://schemas.openxmlformats.org/officeDocument/2006/relationships/hyperlink" Target="https://github.com/motion-canvas/motion-canvas" TargetMode="External"/><Relationship Id="rId874" Type="http://schemas.openxmlformats.org/officeDocument/2006/relationships/hyperlink" Target="https://github.com/saadeghi/daisyui" TargetMode="External"/><Relationship Id="rId17" Type="http://schemas.openxmlformats.org/officeDocument/2006/relationships/hyperlink" Target="https://fabricjs.com/demos/" TargetMode="External"/><Relationship Id="rId527" Type="http://schemas.openxmlformats.org/officeDocument/2006/relationships/hyperlink" Target="https://leafletjs.com/" TargetMode="External"/><Relationship Id="rId734" Type="http://schemas.openxmlformats.org/officeDocument/2006/relationships/hyperlink" Target="https://github.com/mozilla/pdf.js" TargetMode="External"/><Relationship Id="rId941" Type="http://schemas.openxmlformats.org/officeDocument/2006/relationships/hyperlink" Target="https://www.i18next.com/" TargetMode="External"/><Relationship Id="rId70" Type="http://schemas.openxmlformats.org/officeDocument/2006/relationships/hyperlink" Target="https://drei.docs.pmnd.rs/" TargetMode="External"/><Relationship Id="rId166" Type="http://schemas.openxmlformats.org/officeDocument/2006/relationships/hyperlink" Target="https://github.com/tweenjs/tween.js" TargetMode="External"/><Relationship Id="rId373" Type="http://schemas.openxmlformats.org/officeDocument/2006/relationships/hyperlink" Target="https://github.com/KilledByAPixel/ZzFX" TargetMode="External"/><Relationship Id="rId580" Type="http://schemas.openxmlformats.org/officeDocument/2006/relationships/hyperlink" Target="https://github.com/hvianna/audioMotion-analyzer" TargetMode="External"/><Relationship Id="rId801" Type="http://schemas.openxmlformats.org/officeDocument/2006/relationships/hyperlink" Target="https://github.com/geogebra/geogebra" TargetMode="External"/><Relationship Id="rId1" Type="http://schemas.openxmlformats.org/officeDocument/2006/relationships/hyperlink" Target="https://p5js.org/" TargetMode="External"/><Relationship Id="rId233" Type="http://schemas.openxmlformats.org/officeDocument/2006/relationships/hyperlink" Target="https://flickity.metafizzy.co/" TargetMode="External"/><Relationship Id="rId440" Type="http://schemas.openxmlformats.org/officeDocument/2006/relationships/hyperlink" Target="https://timeline.knightlab.com/" TargetMode="External"/><Relationship Id="rId678" Type="http://schemas.openxmlformats.org/officeDocument/2006/relationships/hyperlink" Target="https://github.com/spite/ccapture.js" TargetMode="External"/><Relationship Id="rId885" Type="http://schemas.openxmlformats.org/officeDocument/2006/relationships/hyperlink" Target="https://prismjs.com/examples.html" TargetMode="External"/><Relationship Id="rId28" Type="http://schemas.openxmlformats.org/officeDocument/2006/relationships/hyperlink" Target="https://zzz.dog/" TargetMode="External"/><Relationship Id="rId300" Type="http://schemas.openxmlformats.org/officeDocument/2006/relationships/hyperlink" Target="https://shadergradient.co/customize" TargetMode="External"/><Relationship Id="rId538" Type="http://schemas.openxmlformats.org/officeDocument/2006/relationships/hyperlink" Target="https://github.com/openlayers/openlayers" TargetMode="External"/><Relationship Id="rId745" Type="http://schemas.openxmlformats.org/officeDocument/2006/relationships/hyperlink" Target="https://github.com/exceljs/exceljs" TargetMode="External"/><Relationship Id="rId952" Type="http://schemas.openxmlformats.org/officeDocument/2006/relationships/hyperlink" Target="https://github.com/sveltejs/svelte" TargetMode="External"/><Relationship Id="rId81" Type="http://schemas.openxmlformats.org/officeDocument/2006/relationships/hyperlink" Target="https://github.com/regl-project/regl" TargetMode="External"/><Relationship Id="rId177" Type="http://schemas.openxmlformats.org/officeDocument/2006/relationships/hyperlink" Target="https://swup.js.org/getting-started/demos/" TargetMode="External"/><Relationship Id="rId384" Type="http://schemas.openxmlformats.org/officeDocument/2006/relationships/hyperlink" Target="https://echarts.apache.org/examples/" TargetMode="External"/><Relationship Id="rId591" Type="http://schemas.openxmlformats.org/officeDocument/2006/relationships/hyperlink" Target="https://www.vexflow.com/" TargetMode="External"/><Relationship Id="rId605" Type="http://schemas.openxmlformats.org/officeDocument/2006/relationships/hyperlink" Target="https://gibber.cc/" TargetMode="External"/><Relationship Id="rId812" Type="http://schemas.openxmlformats.org/officeDocument/2006/relationships/hyperlink" Target="https://github.com/josdejong/mathjs" TargetMode="External"/><Relationship Id="rId244" Type="http://schemas.openxmlformats.org/officeDocument/2006/relationships/hyperlink" Target="https://github.com/shshaw/Splitting" TargetMode="External"/><Relationship Id="rId689" Type="http://schemas.openxmlformats.org/officeDocument/2006/relationships/hyperlink" Target="https://hlsjs.video-dev.org/demo/" TargetMode="External"/><Relationship Id="rId896" Type="http://schemas.openxmlformats.org/officeDocument/2006/relationships/hyperlink" Target="https://tiptap.dev/" TargetMode="External"/><Relationship Id="rId39" Type="http://schemas.openxmlformats.org/officeDocument/2006/relationships/hyperlink" Target="https://github.com/mattdesl/canvas-sketch" TargetMode="External"/><Relationship Id="rId451" Type="http://schemas.openxmlformats.org/officeDocument/2006/relationships/hyperlink" Target="https://github.com/grid-js/gridjs" TargetMode="External"/><Relationship Id="rId549" Type="http://schemas.openxmlformats.org/officeDocument/2006/relationships/hyperlink" Target="https://kepler.gl/demo" TargetMode="External"/><Relationship Id="rId756" Type="http://schemas.openxmlformats.org/officeDocument/2006/relationships/hyperlink" Target="https://qr-code-styling.com/" TargetMode="External"/><Relationship Id="rId104" Type="http://schemas.openxmlformats.org/officeDocument/2006/relationships/hyperlink" Target="https://www.curtainsjs.com/" TargetMode="External"/><Relationship Id="rId188" Type="http://schemas.openxmlformats.org/officeDocument/2006/relationships/hyperlink" Target="https://gsap.com/docs/v3/Plugins/ScrollTrigger/" TargetMode="External"/><Relationship Id="rId311" Type="http://schemas.openxmlformats.org/officeDocument/2006/relationships/hyperlink" Target="https://brm.io/matter-js/" TargetMode="External"/><Relationship Id="rId395" Type="http://schemas.openxmlformats.org/officeDocument/2006/relationships/hyperlink" Target="https://recharts.org/" TargetMode="External"/><Relationship Id="rId409" Type="http://schemas.openxmlformats.org/officeDocument/2006/relationships/hyperlink" Target="https://github.com/observablehq/plot" TargetMode="External"/><Relationship Id="rId963" Type="http://schemas.openxmlformats.org/officeDocument/2006/relationships/hyperlink" Target="https://preactjs.com/repl" TargetMode="External"/><Relationship Id="rId92" Type="http://schemas.openxmlformats.org/officeDocument/2006/relationships/hyperlink" Target="https://github.com/google/model-viewer" TargetMode="External"/><Relationship Id="rId616" Type="http://schemas.openxmlformats.org/officeDocument/2006/relationships/hyperlink" Target="https://github.com/huggingface/transformers.js" TargetMode="External"/><Relationship Id="rId823" Type="http://schemas.openxmlformats.org/officeDocument/2006/relationships/hyperlink" Target="https://hammerjs.github.io/" TargetMode="External"/><Relationship Id="rId255" Type="http://schemas.openxmlformats.org/officeDocument/2006/relationships/hyperlink" Target="https://circletype.labwire.ca/" TargetMode="External"/><Relationship Id="rId462" Type="http://schemas.openxmlformats.org/officeDocument/2006/relationships/hyperlink" Target="https://visjs.github.io/vis-network/examples/" TargetMode="External"/><Relationship Id="rId115" Type="http://schemas.openxmlformats.org/officeDocument/2006/relationships/hyperlink" Target="https://github.com/guansss/pixi-live2d-display" TargetMode="External"/><Relationship Id="rId157" Type="http://schemas.openxmlformats.org/officeDocument/2006/relationships/hyperlink" Target="https://github.com/airbnb/lottie-web" TargetMode="External"/><Relationship Id="rId322" Type="http://schemas.openxmlformats.org/officeDocument/2006/relationships/hyperlink" Target="https://github.com/pmndrs/cannon-es" TargetMode="External"/><Relationship Id="rId364" Type="http://schemas.openxmlformats.org/officeDocument/2006/relationships/hyperlink" Target="https://github.com/qiao/PathFinding.js" TargetMode="External"/><Relationship Id="rId767" Type="http://schemas.openxmlformats.org/officeDocument/2006/relationships/hyperlink" Target="https://github.com/eligrey/FileSaver.js" TargetMode="External"/><Relationship Id="rId974" Type="http://schemas.openxmlformats.org/officeDocument/2006/relationships/hyperlink" Target="https://github.com/gohai/p5.webserial" TargetMode="External"/><Relationship Id="rId61" Type="http://schemas.openxmlformats.org/officeDocument/2006/relationships/hyperlink" Target="https://playcanvas.github.io/" TargetMode="External"/><Relationship Id="rId199" Type="http://schemas.openxmlformats.org/officeDocument/2006/relationships/hyperlink" Target="https://github.com/janpaepke/ScrollMagic" TargetMode="External"/><Relationship Id="rId571" Type="http://schemas.openxmlformats.org/officeDocument/2006/relationships/hyperlink" Target="https://github.com/katspaugh/wavesurfer.js" TargetMode="External"/><Relationship Id="rId627" Type="http://schemas.openxmlformats.org/officeDocument/2006/relationships/hyperlink" Target="https://teachablemachine.withgoogle.com/" TargetMode="External"/><Relationship Id="rId669" Type="http://schemas.openxmlformats.org/officeDocument/2006/relationships/hyperlink" Target="https://midrender.com/revideo" TargetMode="External"/><Relationship Id="rId834" Type="http://schemas.openxmlformats.org/officeDocument/2006/relationships/hyperlink" Target="https://apvarun.github.io/toastify-js/" TargetMode="External"/><Relationship Id="rId876" Type="http://schemas.openxmlformats.org/officeDocument/2006/relationships/hyperlink" Target="https://codemirror.net/examples/" TargetMode="External"/><Relationship Id="rId19" Type="http://schemas.openxmlformats.org/officeDocument/2006/relationships/hyperlink" Target="https://pixijs.com/" TargetMode="External"/><Relationship Id="rId224" Type="http://schemas.openxmlformats.org/officeDocument/2006/relationships/hyperlink" Target="https://swiperjs.com/" TargetMode="External"/><Relationship Id="rId266" Type="http://schemas.openxmlformats.org/officeDocument/2006/relationships/hyperlink" Target="https://marked.js.org/" TargetMode="External"/><Relationship Id="rId431" Type="http://schemas.openxmlformats.org/officeDocument/2006/relationships/hyperlink" Target="https://github.hubspot.com/odometer/" TargetMode="External"/><Relationship Id="rId473" Type="http://schemas.openxmlformats.org/officeDocument/2006/relationships/hyperlink" Target="https://g6.antv.antgroup.com/" TargetMode="External"/><Relationship Id="rId529" Type="http://schemas.openxmlformats.org/officeDocument/2006/relationships/hyperlink" Target="https://github.com/Leaflet/Leaflet" TargetMode="External"/><Relationship Id="rId680" Type="http://schemas.openxmlformats.org/officeDocument/2006/relationships/hyperlink" Target="https://jnordberg.github.io/gif.js/" TargetMode="External"/><Relationship Id="rId736" Type="http://schemas.openxmlformats.org/officeDocument/2006/relationships/hyperlink" Target="https://raw.githack.com/MrRio/jsPDF/master/index.html" TargetMode="External"/><Relationship Id="rId901" Type="http://schemas.openxmlformats.org/officeDocument/2006/relationships/hyperlink" Target="https://github.com/codex-team/editor.js" TargetMode="External"/><Relationship Id="rId30" Type="http://schemas.openxmlformats.org/officeDocument/2006/relationships/hyperlink" Target="https://github.com/metafizzy/zdog" TargetMode="External"/><Relationship Id="rId126" Type="http://schemas.openxmlformats.org/officeDocument/2006/relationships/hyperlink" Target="https://lil-gui.georgealways.com/" TargetMode="External"/><Relationship Id="rId168" Type="http://schemas.openxmlformats.org/officeDocument/2006/relationships/hyperlink" Target="https://auto-animate.formkit.com/" TargetMode="External"/><Relationship Id="rId333" Type="http://schemas.openxmlformats.org/officeDocument/2006/relationships/hyperlink" Target="https://lo-th.github.io/Oimo.js/" TargetMode="External"/><Relationship Id="rId540" Type="http://schemas.openxmlformats.org/officeDocument/2006/relationships/hyperlink" Target="https://developers.google.com/maps/documentation/javascript/examples" TargetMode="External"/><Relationship Id="rId778" Type="http://schemas.openxmlformats.org/officeDocument/2006/relationships/hyperlink" Target="https://marp.app/" TargetMode="External"/><Relationship Id="rId943" Type="http://schemas.openxmlformats.org/officeDocument/2006/relationships/hyperlink" Target="https://github.com/i18next/i18next" TargetMode="External"/><Relationship Id="rId72" Type="http://schemas.openxmlformats.org/officeDocument/2006/relationships/hyperlink" Target="https://threlte.xyz/" TargetMode="External"/><Relationship Id="rId375" Type="http://schemas.openxmlformats.org/officeDocument/2006/relationships/hyperlink" Target="https://sfxr.me/" TargetMode="External"/><Relationship Id="rId582" Type="http://schemas.openxmlformats.org/officeDocument/2006/relationships/hyperlink" Target="https://butterchurnviz.com/" TargetMode="External"/><Relationship Id="rId638" Type="http://schemas.openxmlformats.org/officeDocument/2006/relationships/hyperlink" Target="https://ai-sdk.dev/" TargetMode="External"/><Relationship Id="rId803" Type="http://schemas.openxmlformats.org/officeDocument/2006/relationships/hyperlink" Target="https://www.desmos.com/calculator" TargetMode="External"/><Relationship Id="rId845" Type="http://schemas.openxmlformats.org/officeDocument/2006/relationships/hyperlink" Target="https://github.com/nathancahill/split" TargetMode="External"/><Relationship Id="rId3" Type="http://schemas.openxmlformats.org/officeDocument/2006/relationships/hyperlink" Target="https://github.com/processing/p5.js" TargetMode="External"/><Relationship Id="rId235" Type="http://schemas.openxmlformats.org/officeDocument/2006/relationships/hyperlink" Target="https://github.com/metafizzy/flickity" TargetMode="External"/><Relationship Id="rId277" Type="http://schemas.openxmlformats.org/officeDocument/2006/relationships/hyperlink" Target="https://github.com/drawcall/Proton" TargetMode="External"/><Relationship Id="rId400" Type="http://schemas.openxmlformats.org/officeDocument/2006/relationships/hyperlink" Target="https://github.com/plouc/nivo" TargetMode="External"/><Relationship Id="rId442" Type="http://schemas.openxmlformats.org/officeDocument/2006/relationships/hyperlink" Target="https://github.com/NUKnightLab/TimelineJS3" TargetMode="External"/><Relationship Id="rId484" Type="http://schemas.openxmlformats.org/officeDocument/2006/relationships/hyperlink" Target="https://github.com/SSShooter/mind-elixir-core" TargetMode="External"/><Relationship Id="rId705" Type="http://schemas.openxmlformats.org/officeDocument/2006/relationships/hyperlink" Target="https://photo-sphere-viewer.js.org/" TargetMode="External"/><Relationship Id="rId887" Type="http://schemas.openxmlformats.org/officeDocument/2006/relationships/hyperlink" Target="https://shiki.style/" TargetMode="External"/><Relationship Id="rId137" Type="http://schemas.openxmlformats.org/officeDocument/2006/relationships/hyperlink" Target="https://github.com/mrdoob/stats.js" TargetMode="External"/><Relationship Id="rId302" Type="http://schemas.openxmlformats.org/officeDocument/2006/relationships/hyperlink" Target="https://cobe.vercel.app/" TargetMode="External"/><Relationship Id="rId344" Type="http://schemas.openxmlformats.org/officeDocument/2006/relationships/hyperlink" Target="https://melonjs.org/" TargetMode="External"/><Relationship Id="rId691" Type="http://schemas.openxmlformats.org/officeDocument/2006/relationships/hyperlink" Target="https://html2canvas.hertzen.com/" TargetMode="External"/><Relationship Id="rId747" Type="http://schemas.openxmlformats.org/officeDocument/2006/relationships/hyperlink" Target="https://gitbrent.github.io/PptxGenJS/demos/" TargetMode="External"/><Relationship Id="rId789" Type="http://schemas.openxmlformats.org/officeDocument/2006/relationships/hyperlink" Target="https://github.com/usablica/intro.js" TargetMode="External"/><Relationship Id="rId912" Type="http://schemas.openxmlformats.org/officeDocument/2006/relationships/hyperlink" Target="https://firebase.google.com/docs/web/setup" TargetMode="External"/><Relationship Id="rId954" Type="http://schemas.openxmlformats.org/officeDocument/2006/relationships/hyperlink" Target="https://alpinejs.dev/" TargetMode="External"/><Relationship Id="rId41" Type="http://schemas.openxmlformats.org/officeDocument/2006/relationships/hyperlink" Target="https://hydra.ojack.xyz/functions/" TargetMode="External"/><Relationship Id="rId83" Type="http://schemas.openxmlformats.org/officeDocument/2006/relationships/hyperlink" Target="https://github.com/regl-project/regl" TargetMode="External"/><Relationship Id="rId179" Type="http://schemas.openxmlformats.org/officeDocument/2006/relationships/hyperlink" Target="https://thednp.github.io/kute.js/" TargetMode="External"/><Relationship Id="rId386" Type="http://schemas.openxmlformats.org/officeDocument/2006/relationships/hyperlink" Target="https://plotly.com/javascript/" TargetMode="External"/><Relationship Id="rId551" Type="http://schemas.openxmlformats.org/officeDocument/2006/relationships/hyperlink" Target="https://turfjs.org/" TargetMode="External"/><Relationship Id="rId593" Type="http://schemas.openxmlformats.org/officeDocument/2006/relationships/hyperlink" Target="https://opensheetmusicdisplay.org/" TargetMode="External"/><Relationship Id="rId607" Type="http://schemas.openxmlformats.org/officeDocument/2006/relationships/hyperlink" Target="https://github.com/gibber-cc/gibber" TargetMode="External"/><Relationship Id="rId649" Type="http://schemas.openxmlformats.org/officeDocument/2006/relationships/hyperlink" Target="https://github.com/vladmandic/human" TargetMode="External"/><Relationship Id="rId814" Type="http://schemas.openxmlformats.org/officeDocument/2006/relationships/hyperlink" Target="https://3dmol.csb.pitt.edu/" TargetMode="External"/><Relationship Id="rId856" Type="http://schemas.openxmlformats.org/officeDocument/2006/relationships/hyperlink" Target="https://icon-sets.iconify.design/" TargetMode="External"/><Relationship Id="rId190" Type="http://schemas.openxmlformats.org/officeDocument/2006/relationships/hyperlink" Target="https://github.com/greensock/GSAP" TargetMode="External"/><Relationship Id="rId204" Type="http://schemas.openxmlformats.org/officeDocument/2006/relationships/hyperlink" Target="https://scrollrevealjs.org/" TargetMode="External"/><Relationship Id="rId246" Type="http://schemas.openxmlformats.org/officeDocument/2006/relationships/hyperlink" Target="https://lukepeavey.github.io/SplitType/" TargetMode="External"/><Relationship Id="rId288" Type="http://schemas.openxmlformats.org/officeDocument/2006/relationships/hyperlink" Target="https://www.kirilv.com/canvas-confetti/" TargetMode="External"/><Relationship Id="rId411" Type="http://schemas.openxmlformats.org/officeDocument/2006/relationships/hyperlink" Target="https://g2.antv.antgroup.com/en/examples" TargetMode="External"/><Relationship Id="rId453" Type="http://schemas.openxmlformats.org/officeDocument/2006/relationships/hyperlink" Target="https://datatables.net/examples/" TargetMode="External"/><Relationship Id="rId509" Type="http://schemas.openxmlformats.org/officeDocument/2006/relationships/hyperlink" Target="https://excalidraw.com/" TargetMode="External"/><Relationship Id="rId660" Type="http://schemas.openxmlformats.org/officeDocument/2006/relationships/hyperlink" Target="https://immersive-web.github.io/webxr-samples/" TargetMode="External"/><Relationship Id="rId898" Type="http://schemas.openxmlformats.org/officeDocument/2006/relationships/hyperlink" Target="https://github.com/ueberdosis/tiptap" TargetMode="External"/><Relationship Id="rId106" Type="http://schemas.openxmlformats.org/officeDocument/2006/relationships/hyperlink" Target="https://github.com/martinlaxenaire/curtainsjs" TargetMode="External"/><Relationship Id="rId313" Type="http://schemas.openxmlformats.org/officeDocument/2006/relationships/hyperlink" Target="https://github.com/liabru/matter-js" TargetMode="External"/><Relationship Id="rId495" Type="http://schemas.openxmlformats.org/officeDocument/2006/relationships/hyperlink" Target="https://tamats.com/projects/litegraph/editor/" TargetMode="External"/><Relationship Id="rId716" Type="http://schemas.openxmlformats.org/officeDocument/2006/relationships/hyperlink" Target="https://github.com/dimsemenov/PhotoSwipe" TargetMode="External"/><Relationship Id="rId758" Type="http://schemas.openxmlformats.org/officeDocument/2006/relationships/hyperlink" Target="https://lindell.me/JsBarcode/" TargetMode="External"/><Relationship Id="rId923" Type="http://schemas.openxmlformats.org/officeDocument/2006/relationships/hyperlink" Target="https://sql.js.org/" TargetMode="External"/><Relationship Id="rId965" Type="http://schemas.openxmlformats.org/officeDocument/2006/relationships/hyperlink" Target="https://www.solidjs.com/" TargetMode="External"/><Relationship Id="rId10" Type="http://schemas.openxmlformats.org/officeDocument/2006/relationships/hyperlink" Target="https://two.js.org/" TargetMode="External"/><Relationship Id="rId52" Type="http://schemas.openxmlformats.org/officeDocument/2006/relationships/hyperlink" Target="https://veltman.github.io/flubber/demos/basic-svg.html" TargetMode="External"/><Relationship Id="rId94" Type="http://schemas.openxmlformats.org/officeDocument/2006/relationships/hyperlink" Target="https://community.spline.design/" TargetMode="External"/><Relationship Id="rId148" Type="http://schemas.openxmlformats.org/officeDocument/2006/relationships/hyperlink" Target="https://github.com/motiondivision/motion" TargetMode="External"/><Relationship Id="rId355" Type="http://schemas.openxmlformats.org/officeDocument/2006/relationships/hyperlink" Target="https://github.com/cocos/cocos-engine" TargetMode="External"/><Relationship Id="rId397" Type="http://schemas.openxmlformats.org/officeDocument/2006/relationships/hyperlink" Target="https://github.com/recharts/recharts" TargetMode="External"/><Relationship Id="rId520" Type="http://schemas.openxmlformats.org/officeDocument/2006/relationships/hyperlink" Target="https://github.com/fullcalendar/fullcalendar" TargetMode="External"/><Relationship Id="rId562" Type="http://schemas.openxmlformats.org/officeDocument/2006/relationships/hyperlink" Target="https://github.com/Tonejs/Tone.js" TargetMode="External"/><Relationship Id="rId618" Type="http://schemas.openxmlformats.org/officeDocument/2006/relationships/hyperlink" Target="https://github.com/microsoft/onnxruntime-inference-examples" TargetMode="External"/><Relationship Id="rId825" Type="http://schemas.openxmlformats.org/officeDocument/2006/relationships/hyperlink" Target="https://atomiks.github.io/tippyjs/" TargetMode="External"/><Relationship Id="rId215" Type="http://schemas.openxmlformats.org/officeDocument/2006/relationships/hyperlink" Target="https://alvarotrigo.com/fullPage/" TargetMode="External"/><Relationship Id="rId257" Type="http://schemas.openxmlformats.org/officeDocument/2006/relationships/hyperlink" Target="https://rikschennink.github.io/fitty/" TargetMode="External"/><Relationship Id="rId422" Type="http://schemas.openxmlformats.org/officeDocument/2006/relationships/hyperlink" Target="https://frappe.github.io/charts/" TargetMode="External"/><Relationship Id="rId464" Type="http://schemas.openxmlformats.org/officeDocument/2006/relationships/hyperlink" Target="https://visjs.github.io/vis-timeline/examples/timeline/" TargetMode="External"/><Relationship Id="rId867" Type="http://schemas.openxmlformats.org/officeDocument/2006/relationships/hyperlink" Target="https://reactbits.dev/" TargetMode="External"/><Relationship Id="rId299" Type="http://schemas.openxmlformats.org/officeDocument/2006/relationships/hyperlink" Target="https://shadergradient.co/" TargetMode="External"/><Relationship Id="rId727" Type="http://schemas.openxmlformats.org/officeDocument/2006/relationships/hyperlink" Target="https://szimek.github.io/signature_pad/" TargetMode="External"/><Relationship Id="rId934" Type="http://schemas.openxmlformats.org/officeDocument/2006/relationships/hyperlink" Target="https://github.com/iamkun/dayjs" TargetMode="External"/><Relationship Id="rId63" Type="http://schemas.openxmlformats.org/officeDocument/2006/relationships/hyperlink" Target="https://aframe.io/" TargetMode="External"/><Relationship Id="rId159" Type="http://schemas.openxmlformats.org/officeDocument/2006/relationships/hyperlink" Target="https://lottiefiles.com/featured" TargetMode="External"/><Relationship Id="rId366" Type="http://schemas.openxmlformats.org/officeDocument/2006/relationships/hyperlink" Target="https://boardgame.io/documentation/" TargetMode="External"/><Relationship Id="rId573" Type="http://schemas.openxmlformats.org/officeDocument/2006/relationships/hyperlink" Target="https://strudel.cc/workshop/getting-started/" TargetMode="External"/><Relationship Id="rId780" Type="http://schemas.openxmlformats.org/officeDocument/2006/relationships/hyperlink" Target="https://github.com/marp-team/marp" TargetMode="External"/><Relationship Id="rId226" Type="http://schemas.openxmlformats.org/officeDocument/2006/relationships/hyperlink" Target="https://github.com/nolimits4web/swiper" TargetMode="External"/><Relationship Id="rId433" Type="http://schemas.openxmlformats.org/officeDocument/2006/relationships/hyperlink" Target="https://github.com/HubSpot/odometer" TargetMode="External"/><Relationship Id="rId878" Type="http://schemas.openxmlformats.org/officeDocument/2006/relationships/hyperlink" Target="https://microsoft.github.io/monaco-editor/" TargetMode="External"/><Relationship Id="rId640" Type="http://schemas.openxmlformats.org/officeDocument/2006/relationships/hyperlink" Target="https://github.com/vercel/ai" TargetMode="External"/><Relationship Id="rId738" Type="http://schemas.openxmlformats.org/officeDocument/2006/relationships/hyperlink" Target="https://pdf-lib.js.org/" TargetMode="External"/><Relationship Id="rId945" Type="http://schemas.openxmlformats.org/officeDocument/2006/relationships/hyperlink" Target="https://react.dev/learn" TargetMode="External"/><Relationship Id="rId74" Type="http://schemas.openxmlformats.org/officeDocument/2006/relationships/hyperlink" Target="https://github.com/threlte/threlte" TargetMode="External"/><Relationship Id="rId377" Type="http://schemas.openxmlformats.org/officeDocument/2006/relationships/hyperlink" Target="https://d3js.org/" TargetMode="External"/><Relationship Id="rId500" Type="http://schemas.openxmlformats.org/officeDocument/2006/relationships/hyperlink" Target="https://www.jointjs.com/" TargetMode="External"/><Relationship Id="rId584" Type="http://schemas.openxmlformats.org/officeDocument/2006/relationships/hyperlink" Target="https://magenta.tensorflow.org/js" TargetMode="External"/><Relationship Id="rId805" Type="http://schemas.openxmlformats.org/officeDocument/2006/relationships/hyperlink" Target="https://mauriciopoppe.github.io/function-plot/" TargetMode="External"/><Relationship Id="rId5" Type="http://schemas.openxmlformats.org/officeDocument/2006/relationships/hyperlink" Target="https://q5js.org/learn/" TargetMode="External"/><Relationship Id="rId237" Type="http://schemas.openxmlformats.org/officeDocument/2006/relationships/hyperlink" Target="https://mattboldt.com/demos/typed-js/" TargetMode="External"/><Relationship Id="rId791" Type="http://schemas.openxmlformats.org/officeDocument/2006/relationships/hyperlink" Target="https://katex.org/" TargetMode="External"/><Relationship Id="rId889" Type="http://schemas.openxmlformats.org/officeDocument/2006/relationships/hyperlink" Target="https://github.com/shikijs/shiki" TargetMode="External"/><Relationship Id="rId444" Type="http://schemas.openxmlformats.org/officeDocument/2006/relationships/hyperlink" Target="https://www.tabulator.info/examples/6.x/" TargetMode="External"/><Relationship Id="rId651" Type="http://schemas.openxmlformats.org/officeDocument/2006/relationships/hyperlink" Target="https://docs.opencv.org/4.x/d5/d10/tutorial_js_root.html" TargetMode="External"/><Relationship Id="rId749" Type="http://schemas.openxmlformats.org/officeDocument/2006/relationships/hyperlink" Target="https://docx.js.org/" TargetMode="External"/><Relationship Id="rId290" Type="http://schemas.openxmlformats.org/officeDocument/2006/relationships/hyperlink" Target="https://github.com/loonywizard/js-confetti" TargetMode="External"/><Relationship Id="rId304" Type="http://schemas.openxmlformats.org/officeDocument/2006/relationships/hyperlink" Target="https://github.com/shuding/cobe" TargetMode="External"/><Relationship Id="rId388" Type="http://schemas.openxmlformats.org/officeDocument/2006/relationships/hyperlink" Target="https://github.com/plotly/plotly.js" TargetMode="External"/><Relationship Id="rId511" Type="http://schemas.openxmlformats.org/officeDocument/2006/relationships/hyperlink" Target="https://github.com/excalidraw/excalidraw" TargetMode="External"/><Relationship Id="rId609" Type="http://schemas.openxmlformats.org/officeDocument/2006/relationships/hyperlink" Target="https://editor.p5js.org/ml5/sketches" TargetMode="External"/><Relationship Id="rId956" Type="http://schemas.openxmlformats.org/officeDocument/2006/relationships/hyperlink" Target="https://htmx.org/" TargetMode="External"/><Relationship Id="rId85" Type="http://schemas.openxmlformats.org/officeDocument/2006/relationships/hyperlink" Target="https://twgljs.org/" TargetMode="External"/><Relationship Id="rId150" Type="http://schemas.openxmlformats.org/officeDocument/2006/relationships/hyperlink" Target="https://www.react-spring.dev/examples" TargetMode="External"/><Relationship Id="rId595" Type="http://schemas.openxmlformats.org/officeDocument/2006/relationships/hyperlink" Target="https://github.com/opensheetmusicdisplay/opensheetmusicdisplay" TargetMode="External"/><Relationship Id="rId816" Type="http://schemas.openxmlformats.org/officeDocument/2006/relationships/hyperlink" Target="https://sortablejs.github.io/Sortable/" TargetMode="External"/><Relationship Id="rId248" Type="http://schemas.openxmlformats.org/officeDocument/2006/relationships/hyperlink" Target="https://camwiegert.github.io/baffle/" TargetMode="External"/><Relationship Id="rId455" Type="http://schemas.openxmlformats.org/officeDocument/2006/relationships/hyperlink" Target="https://js.cytoscape.org/" TargetMode="External"/><Relationship Id="rId662" Type="http://schemas.openxmlformats.org/officeDocument/2006/relationships/hyperlink" Target="https://www.remotion.dev/" TargetMode="External"/><Relationship Id="rId12" Type="http://schemas.openxmlformats.org/officeDocument/2006/relationships/hyperlink" Target="https://github.com/jonobr1/two.js" TargetMode="External"/><Relationship Id="rId108" Type="http://schemas.openxmlformats.org/officeDocument/2006/relationships/hyperlink" Target="https://gpu.rocks/" TargetMode="External"/><Relationship Id="rId315" Type="http://schemas.openxmlformats.org/officeDocument/2006/relationships/hyperlink" Target="https://piqnt.com/planck.js/" TargetMode="External"/><Relationship Id="rId522" Type="http://schemas.openxmlformats.org/officeDocument/2006/relationships/hyperlink" Target="https://www.nomnoml.com/" TargetMode="External"/><Relationship Id="rId967" Type="http://schemas.openxmlformats.org/officeDocument/2006/relationships/hyperlink" Target="https://github.com/solidjs/solid" TargetMode="External"/><Relationship Id="rId96" Type="http://schemas.openxmlformats.org/officeDocument/2006/relationships/hyperlink" Target="https://needle.tools/" TargetMode="External"/><Relationship Id="rId161" Type="http://schemas.openxmlformats.org/officeDocument/2006/relationships/hyperlink" Target="https://rive.app/" TargetMode="External"/><Relationship Id="rId399" Type="http://schemas.openxmlformats.org/officeDocument/2006/relationships/hyperlink" Target="https://nivo.rocks/" TargetMode="External"/><Relationship Id="rId827" Type="http://schemas.openxmlformats.org/officeDocument/2006/relationships/hyperlink" Target="https://github.com/atomiks/tippyjs" TargetMode="External"/><Relationship Id="rId259" Type="http://schemas.openxmlformats.org/officeDocument/2006/relationships/hyperlink" Target="https://github.com/rikschennink/fitty" TargetMode="External"/><Relationship Id="rId466" Type="http://schemas.openxmlformats.org/officeDocument/2006/relationships/hyperlink" Target="https://github.com/visjs/vis-timeline" TargetMode="External"/><Relationship Id="rId673" Type="http://schemas.openxmlformats.org/officeDocument/2006/relationships/hyperlink" Target="https://github.com/ffmpegwasm/ffmpeg.wasm" TargetMode="External"/><Relationship Id="rId880" Type="http://schemas.openxmlformats.org/officeDocument/2006/relationships/hyperlink" Target="https://github.com/microsoft/monaco-editor" TargetMode="External"/><Relationship Id="rId23" Type="http://schemas.openxmlformats.org/officeDocument/2006/relationships/hyperlink" Target="https://createjs.com/demos" TargetMode="External"/><Relationship Id="rId119" Type="http://schemas.openxmlformats.org/officeDocument/2006/relationships/hyperlink" Target="https://github.com/pmndrs/postprocessing" TargetMode="External"/><Relationship Id="rId326" Type="http://schemas.openxmlformats.org/officeDocument/2006/relationships/hyperlink" Target="https://github.com/kripken/ammo.js" TargetMode="External"/><Relationship Id="rId533" Type="http://schemas.openxmlformats.org/officeDocument/2006/relationships/hyperlink" Target="https://www.mapbox.com/mapbox-gljs" TargetMode="External"/><Relationship Id="rId740" Type="http://schemas.openxmlformats.org/officeDocument/2006/relationships/hyperlink" Target="https://github.com/Hopding/pdf-lib" TargetMode="External"/><Relationship Id="rId838" Type="http://schemas.openxmlformats.org/officeDocument/2006/relationships/hyperlink" Target="https://flatpickr.js.org/examples/" TargetMode="External"/><Relationship Id="rId172" Type="http://schemas.openxmlformats.org/officeDocument/2006/relationships/hyperlink" Target="https://github.com/animate-css/animate.css" TargetMode="External"/><Relationship Id="rId477" Type="http://schemas.openxmlformats.org/officeDocument/2006/relationships/hyperlink" Target="https://mermaid.live/" TargetMode="External"/><Relationship Id="rId600" Type="http://schemas.openxmlformats.org/officeDocument/2006/relationships/hyperlink" Target="https://tonaljs.github.io/tonal/docs" TargetMode="External"/><Relationship Id="rId684" Type="http://schemas.openxmlformats.org/officeDocument/2006/relationships/hyperlink" Target="https://github.com/videojs/video.js" TargetMode="External"/><Relationship Id="rId337" Type="http://schemas.openxmlformats.org/officeDocument/2006/relationships/hyperlink" Target="https://github.com/phaserjs/phaser" TargetMode="External"/><Relationship Id="rId891" Type="http://schemas.openxmlformats.org/officeDocument/2006/relationships/hyperlink" Target="https://xtermjs.org/" TargetMode="External"/><Relationship Id="rId905" Type="http://schemas.openxmlformats.org/officeDocument/2006/relationships/hyperlink" Target="https://peerjs.com/" TargetMode="External"/><Relationship Id="rId34" Type="http://schemas.openxmlformats.org/officeDocument/2006/relationships/hyperlink" Target="http://snapsvg.io/" TargetMode="External"/><Relationship Id="rId544" Type="http://schemas.openxmlformats.org/officeDocument/2006/relationships/hyperlink" Target="https://github.com/vasturiano/globe.gl" TargetMode="External"/><Relationship Id="rId751" Type="http://schemas.openxmlformats.org/officeDocument/2006/relationships/hyperlink" Target="https://github.com/dolanmiu/docx" TargetMode="External"/><Relationship Id="rId849" Type="http://schemas.openxmlformats.org/officeDocument/2006/relationships/hyperlink" Target="https://wiredjs.com/" TargetMode="External"/><Relationship Id="rId183" Type="http://schemas.openxmlformats.org/officeDocument/2006/relationships/hyperlink" Target="https://daybrush.com/scenejs/" TargetMode="External"/><Relationship Id="rId390" Type="http://schemas.openxmlformats.org/officeDocument/2006/relationships/hyperlink" Target="https://www.highcharts.com/demo" TargetMode="External"/><Relationship Id="rId404" Type="http://schemas.openxmlformats.org/officeDocument/2006/relationships/hyperlink" Target="https://vega.github.io/vega-lite/" TargetMode="External"/><Relationship Id="rId611" Type="http://schemas.openxmlformats.org/officeDocument/2006/relationships/hyperlink" Target="https://www.tensorflow.org/js" TargetMode="External"/><Relationship Id="rId250" Type="http://schemas.openxmlformats.org/officeDocument/2006/relationships/hyperlink" Target="https://github.com/camwiegert/baffle" TargetMode="External"/><Relationship Id="rId488" Type="http://schemas.openxmlformats.org/officeDocument/2006/relationships/hyperlink" Target="https://reactflow.dev/" TargetMode="External"/><Relationship Id="rId695" Type="http://schemas.openxmlformats.org/officeDocument/2006/relationships/hyperlink" Target="https://github.com/bubkoo/html-to-image" TargetMode="External"/><Relationship Id="rId709" Type="http://schemas.openxmlformats.org/officeDocument/2006/relationships/hyperlink" Target="https://pannellum.org/documentation/examples/simple-example/" TargetMode="External"/><Relationship Id="rId916" Type="http://schemas.openxmlformats.org/officeDocument/2006/relationships/hyperlink" Target="https://github.com/supabase/supabase-js" TargetMode="External"/><Relationship Id="rId45" Type="http://schemas.openxmlformats.org/officeDocument/2006/relationships/hyperlink" Target="https://github.com/gka/chroma.js" TargetMode="External"/><Relationship Id="rId110" Type="http://schemas.openxmlformats.org/officeDocument/2006/relationships/hyperlink" Target="https://github.com/pixiv/three-vrm" TargetMode="External"/><Relationship Id="rId348" Type="http://schemas.openxmlformats.org/officeDocument/2006/relationships/hyperlink" Target="https://killedbyapixel.github.io/LittleJS/examples/" TargetMode="External"/><Relationship Id="rId555" Type="http://schemas.openxmlformats.org/officeDocument/2006/relationships/hyperlink" Target="https://developers.arcgis.com/javascript/latest/sample-code/" TargetMode="External"/><Relationship Id="rId762" Type="http://schemas.openxmlformats.org/officeDocument/2006/relationships/hyperlink" Target="https://scanapp.org/" TargetMode="External"/><Relationship Id="rId194" Type="http://schemas.openxmlformats.org/officeDocument/2006/relationships/hyperlink" Target="https://scroll.locomotive.ca/" TargetMode="External"/><Relationship Id="rId208" Type="http://schemas.openxmlformats.org/officeDocument/2006/relationships/hyperlink" Target="https://github.com/russellsamora/scrollama" TargetMode="External"/><Relationship Id="rId415" Type="http://schemas.openxmlformats.org/officeDocument/2006/relationships/hyperlink" Target="https://github.com/naver/billboard.js" TargetMode="External"/><Relationship Id="rId622" Type="http://schemas.openxmlformats.org/officeDocument/2006/relationships/hyperlink" Target="https://github.com/mlc-ai/web-llm" TargetMode="External"/><Relationship Id="rId261" Type="http://schemas.openxmlformats.org/officeDocument/2006/relationships/hyperlink" Target="https://opentype.js.org/glyph-inspector.html" TargetMode="External"/><Relationship Id="rId499" Type="http://schemas.openxmlformats.org/officeDocument/2006/relationships/hyperlink" Target="https://github.com/retejs/rete" TargetMode="External"/><Relationship Id="rId927" Type="http://schemas.openxmlformats.org/officeDocument/2006/relationships/hyperlink" Target="https://shell.duckdb.org/" TargetMode="External"/><Relationship Id="rId56" Type="http://schemas.openxmlformats.org/officeDocument/2006/relationships/hyperlink" Target="https://github.com/mrdoob/three.js" TargetMode="External"/><Relationship Id="rId359" Type="http://schemas.openxmlformats.org/officeDocument/2006/relationships/hyperlink" Target="https://ondras.github.io/rot.js/hp/" TargetMode="External"/><Relationship Id="rId566" Type="http://schemas.openxmlformats.org/officeDocument/2006/relationships/hyperlink" Target="https://p5js.org/reference/p5.sound/" TargetMode="External"/><Relationship Id="rId773" Type="http://schemas.openxmlformats.org/officeDocument/2006/relationships/hyperlink" Target="https://impress.js.org/" TargetMode="External"/><Relationship Id="rId121" Type="http://schemas.openxmlformats.org/officeDocument/2006/relationships/hyperlink" Target="https://github.com/pmndrs/postprocessing" TargetMode="External"/><Relationship Id="rId219" Type="http://schemas.openxmlformats.org/officeDocument/2006/relationships/hyperlink" Target="https://micku7zu.github.io/vanilla-tilt.js/" TargetMode="External"/><Relationship Id="rId426" Type="http://schemas.openxmlformats.org/officeDocument/2006/relationships/hyperlink" Target="https://www.amcharts.com/demos/" TargetMode="External"/><Relationship Id="rId633" Type="http://schemas.openxmlformats.org/officeDocument/2006/relationships/hyperlink" Target="https://work.spencermountain.dev/compromise/" TargetMode="External"/><Relationship Id="rId840" Type="http://schemas.openxmlformats.org/officeDocument/2006/relationships/hyperlink" Target="https://gridstackjs.com/" TargetMode="External"/><Relationship Id="rId938" Type="http://schemas.openxmlformats.org/officeDocument/2006/relationships/hyperlink" Target="https://zod.dev/" TargetMode="External"/><Relationship Id="rId67" Type="http://schemas.openxmlformats.org/officeDocument/2006/relationships/hyperlink" Target="https://r3f.docs.pmnd.rs/getting-started/examples" TargetMode="External"/><Relationship Id="rId272" Type="http://schemas.openxmlformats.org/officeDocument/2006/relationships/hyperlink" Target="https://vincentgarreau.com/particles.js/" TargetMode="External"/><Relationship Id="rId577" Type="http://schemas.openxmlformats.org/officeDocument/2006/relationships/hyperlink" Target="https://github.com/meyda/meyda" TargetMode="External"/><Relationship Id="rId700" Type="http://schemas.openxmlformats.org/officeDocument/2006/relationships/hyperlink" Target="https://evanw.github.io/glfx.js/demo/" TargetMode="External"/><Relationship Id="rId132" Type="http://schemas.openxmlformats.org/officeDocument/2006/relationships/hyperlink" Target="https://protectwise.github.io/troika/troika-three-text/" TargetMode="External"/><Relationship Id="rId784" Type="http://schemas.openxmlformats.org/officeDocument/2006/relationships/hyperlink" Target="https://driverjs.com/" TargetMode="External"/><Relationship Id="rId437" Type="http://schemas.openxmlformats.org/officeDocument/2006/relationships/hyperlink" Target="https://www.patrick-wied.at/static/heatmapjs/" TargetMode="External"/><Relationship Id="rId644" Type="http://schemas.openxmlformats.org/officeDocument/2006/relationships/hyperlink" Target="https://developers.google.com/edge/mediapipe/solutions/guide" TargetMode="External"/><Relationship Id="rId851" Type="http://schemas.openxmlformats.org/officeDocument/2006/relationships/hyperlink" Target="https://github.com/rough-stuff/wired-elements" TargetMode="External"/><Relationship Id="rId283" Type="http://schemas.openxmlformats.org/officeDocument/2006/relationships/hyperlink" Target="https://github.com/sarcadass/granim.js" TargetMode="External"/><Relationship Id="rId490" Type="http://schemas.openxmlformats.org/officeDocument/2006/relationships/hyperlink" Target="https://github.com/xyflow/xyflow" TargetMode="External"/><Relationship Id="rId504" Type="http://schemas.openxmlformats.org/officeDocument/2006/relationships/hyperlink" Target="https://gojs.net/latest/samples/" TargetMode="External"/><Relationship Id="rId711" Type="http://schemas.openxmlformats.org/officeDocument/2006/relationships/hyperlink" Target="https://www.marzipano.net/" TargetMode="External"/><Relationship Id="rId949" Type="http://schemas.openxmlformats.org/officeDocument/2006/relationships/hyperlink" Target="https://github.com/vuejs/core" TargetMode="External"/><Relationship Id="rId78" Type="http://schemas.openxmlformats.org/officeDocument/2006/relationships/hyperlink" Target="https://oframe.github.io/ogl/" TargetMode="External"/><Relationship Id="rId143" Type="http://schemas.openxmlformats.org/officeDocument/2006/relationships/hyperlink" Target="https://animejs.com/" TargetMode="External"/><Relationship Id="rId350" Type="http://schemas.openxmlformats.org/officeDocument/2006/relationships/hyperlink" Target="https://straker.github.io/kontra/" TargetMode="External"/><Relationship Id="rId588" Type="http://schemas.openxmlformats.org/officeDocument/2006/relationships/hyperlink" Target="https://www.abcjs.net/abcjs-editor.html" TargetMode="External"/><Relationship Id="rId795" Type="http://schemas.openxmlformats.org/officeDocument/2006/relationships/hyperlink" Target="https://github.com/mathjax/MathJax" TargetMode="External"/><Relationship Id="rId809" Type="http://schemas.openxmlformats.org/officeDocument/2006/relationships/hyperlink" Target="https://github.com/stevenpetryk/mafs" TargetMode="External"/><Relationship Id="rId9" Type="http://schemas.openxmlformats.org/officeDocument/2006/relationships/hyperlink" Target="https://github.com/paperjs/paper.js" TargetMode="External"/><Relationship Id="rId210" Type="http://schemas.openxmlformats.org/officeDocument/2006/relationships/hyperlink" Target="https://dixonandmoe.com/rellax/" TargetMode="External"/><Relationship Id="rId448" Type="http://schemas.openxmlformats.org/officeDocument/2006/relationships/hyperlink" Target="https://github.com/ag-grid/ag-grid" TargetMode="External"/><Relationship Id="rId655" Type="http://schemas.openxmlformats.org/officeDocument/2006/relationships/hyperlink" Target="https://github.com/hiukim/mind-ar-js" TargetMode="External"/><Relationship Id="rId862" Type="http://schemas.openxmlformats.org/officeDocument/2006/relationships/hyperlink" Target="https://ui.aceternity.com/components" TargetMode="External"/><Relationship Id="rId294" Type="http://schemas.openxmlformats.org/officeDocument/2006/relationships/hyperlink" Target="https://fireworks.js.org/" TargetMode="External"/><Relationship Id="rId308" Type="http://schemas.openxmlformats.org/officeDocument/2006/relationships/hyperlink" Target="https://tholman.com/cursor-effects/" TargetMode="External"/><Relationship Id="rId515" Type="http://schemas.openxmlformats.org/officeDocument/2006/relationships/hyperlink" Target="https://frappe.io/gantt" TargetMode="External"/><Relationship Id="rId722" Type="http://schemas.openxmlformats.org/officeDocument/2006/relationships/hyperlink" Target="https://github.com/desandro/masonry" TargetMode="External"/><Relationship Id="rId89" Type="http://schemas.openxmlformats.org/officeDocument/2006/relationships/hyperlink" Target="https://github.com/visgl/luma.gl" TargetMode="External"/><Relationship Id="rId154" Type="http://schemas.openxmlformats.org/officeDocument/2006/relationships/hyperlink" Target="https://github.com/mojs/mojs" TargetMode="External"/><Relationship Id="rId361" Type="http://schemas.openxmlformats.org/officeDocument/2006/relationships/hyperlink" Target="https://github.com/ondras/rot.js" TargetMode="External"/><Relationship Id="rId599" Type="http://schemas.openxmlformats.org/officeDocument/2006/relationships/hyperlink" Target="https://github.com/tonaljs/tonal" TargetMode="External"/><Relationship Id="rId459" Type="http://schemas.openxmlformats.org/officeDocument/2006/relationships/hyperlink" Target="https://www.sigmajs.org/demo/" TargetMode="External"/><Relationship Id="rId666" Type="http://schemas.openxmlformats.org/officeDocument/2006/relationships/hyperlink" Target="https://motioncanvas.io/" TargetMode="External"/><Relationship Id="rId873" Type="http://schemas.openxmlformats.org/officeDocument/2006/relationships/hyperlink" Target="https://daisyui.com/components/" TargetMode="External"/><Relationship Id="rId16" Type="http://schemas.openxmlformats.org/officeDocument/2006/relationships/hyperlink" Target="https://fabricjs.com/" TargetMode="External"/><Relationship Id="rId221" Type="http://schemas.openxmlformats.org/officeDocument/2006/relationships/hyperlink" Target="https://atroposjs.com/" TargetMode="External"/><Relationship Id="rId319" Type="http://schemas.openxmlformats.org/officeDocument/2006/relationships/hyperlink" Target="https://github.com/schteppe/p2.js" TargetMode="External"/><Relationship Id="rId526" Type="http://schemas.openxmlformats.org/officeDocument/2006/relationships/hyperlink" Target="https://github.com/mdaines/viz-js" TargetMode="External"/><Relationship Id="rId733" Type="http://schemas.openxmlformats.org/officeDocument/2006/relationships/hyperlink" Target="https://mozilla.github.io/pdf.js/web/viewer.html" TargetMode="External"/><Relationship Id="rId940" Type="http://schemas.openxmlformats.org/officeDocument/2006/relationships/hyperlink" Target="https://github.com/colinhacks/zod" TargetMode="External"/><Relationship Id="rId165" Type="http://schemas.openxmlformats.org/officeDocument/2006/relationships/hyperlink" Target="https://tweenjs.github.io/tween.js/" TargetMode="External"/><Relationship Id="rId372" Type="http://schemas.openxmlformats.org/officeDocument/2006/relationships/hyperlink" Target="https://killedbyapixel.github.io/ZzFX/" TargetMode="External"/><Relationship Id="rId677" Type="http://schemas.openxmlformats.org/officeDocument/2006/relationships/hyperlink" Target="https://github.com/spite/ccapture.js" TargetMode="External"/><Relationship Id="rId800" Type="http://schemas.openxmlformats.org/officeDocument/2006/relationships/hyperlink" Target="https://www.geogebra.org/materials" TargetMode="External"/><Relationship Id="rId232" Type="http://schemas.openxmlformats.org/officeDocument/2006/relationships/hyperlink" Target="https://github.com/davidjerleke/embla-carousel" TargetMode="External"/><Relationship Id="rId884" Type="http://schemas.openxmlformats.org/officeDocument/2006/relationships/hyperlink" Target="https://prismjs.com/" TargetMode="External"/><Relationship Id="rId27" Type="http://schemas.openxmlformats.org/officeDocument/2006/relationships/hyperlink" Target="https://github.com/rough-stuff/rough" TargetMode="External"/><Relationship Id="rId537" Type="http://schemas.openxmlformats.org/officeDocument/2006/relationships/hyperlink" Target="https://openlayers.org/en/latest/examples/" TargetMode="External"/><Relationship Id="rId744" Type="http://schemas.openxmlformats.org/officeDocument/2006/relationships/hyperlink" Target="https://github.com/exceljs/exceljs" TargetMode="External"/><Relationship Id="rId951" Type="http://schemas.openxmlformats.org/officeDocument/2006/relationships/hyperlink" Target="https://svelte.dev/playground" TargetMode="External"/><Relationship Id="rId80" Type="http://schemas.openxmlformats.org/officeDocument/2006/relationships/hyperlink" Target="https://github.com/oframe/ogl" TargetMode="External"/><Relationship Id="rId176" Type="http://schemas.openxmlformats.org/officeDocument/2006/relationships/hyperlink" Target="https://swup.js.org/" TargetMode="External"/><Relationship Id="rId383" Type="http://schemas.openxmlformats.org/officeDocument/2006/relationships/hyperlink" Target="https://echarts.apache.org/" TargetMode="External"/><Relationship Id="rId590" Type="http://schemas.openxmlformats.org/officeDocument/2006/relationships/hyperlink" Target="https://www.vexflow.com/" TargetMode="External"/><Relationship Id="rId604" Type="http://schemas.openxmlformats.org/officeDocument/2006/relationships/hyperlink" Target="https://github.com/alemangui/pizzicato" TargetMode="External"/><Relationship Id="rId811" Type="http://schemas.openxmlformats.org/officeDocument/2006/relationships/hyperlink" Target="https://mathjs.org/examples/index.html" TargetMode="External"/><Relationship Id="rId243" Type="http://schemas.openxmlformats.org/officeDocument/2006/relationships/hyperlink" Target="https://splitting.js.org/" TargetMode="External"/><Relationship Id="rId450" Type="http://schemas.openxmlformats.org/officeDocument/2006/relationships/hyperlink" Target="https://gridjs.io/docs/examples/hello-world" TargetMode="External"/><Relationship Id="rId688" Type="http://schemas.openxmlformats.org/officeDocument/2006/relationships/hyperlink" Target="https://github.com/video-dev/hls.js" TargetMode="External"/><Relationship Id="rId895" Type="http://schemas.openxmlformats.org/officeDocument/2006/relationships/hyperlink" Target="https://github.com/slab/quill" TargetMode="External"/><Relationship Id="rId909" Type="http://schemas.openxmlformats.org/officeDocument/2006/relationships/hyperlink" Target="https://yjs.dev/" TargetMode="External"/><Relationship Id="rId38" Type="http://schemas.openxmlformats.org/officeDocument/2006/relationships/hyperlink" Target="https://github.com/mattdesl/canvas-sketch/tree/master/examples" TargetMode="External"/><Relationship Id="rId103" Type="http://schemas.openxmlformats.org/officeDocument/2006/relationships/hyperlink" Target="https://github.com/patriciogonzalezvivo/glslCanvas" TargetMode="External"/><Relationship Id="rId310" Type="http://schemas.openxmlformats.org/officeDocument/2006/relationships/hyperlink" Target="https://github.com/tholman/cursor-effects" TargetMode="External"/><Relationship Id="rId548" Type="http://schemas.openxmlformats.org/officeDocument/2006/relationships/hyperlink" Target="https://kepler.gl/" TargetMode="External"/><Relationship Id="rId755" Type="http://schemas.openxmlformats.org/officeDocument/2006/relationships/hyperlink" Target="https://qr-code-styling.com/" TargetMode="External"/><Relationship Id="rId962" Type="http://schemas.openxmlformats.org/officeDocument/2006/relationships/hyperlink" Target="https://preactjs.com/" TargetMode="External"/><Relationship Id="rId91" Type="http://schemas.openxmlformats.org/officeDocument/2006/relationships/hyperlink" Target="https://modelviewer.dev/examples/loading/" TargetMode="External"/><Relationship Id="rId187" Type="http://schemas.openxmlformats.org/officeDocument/2006/relationships/hyperlink" Target="https://github.com/maxwellito/vivus" TargetMode="External"/><Relationship Id="rId394" Type="http://schemas.openxmlformats.org/officeDocument/2006/relationships/hyperlink" Target="https://github.com/apexcharts/apexcharts.js" TargetMode="External"/><Relationship Id="rId408" Type="http://schemas.openxmlformats.org/officeDocument/2006/relationships/hyperlink" Target="https://observablehq.com/@observablehq/plot-gallery" TargetMode="External"/><Relationship Id="rId615" Type="http://schemas.openxmlformats.org/officeDocument/2006/relationships/hyperlink" Target="https://github.com/huggingface/transformers.js-examples" TargetMode="External"/><Relationship Id="rId822" Type="http://schemas.openxmlformats.org/officeDocument/2006/relationships/hyperlink" Target="https://hammerjs.github.io/" TargetMode="External"/><Relationship Id="rId254" Type="http://schemas.openxmlformats.org/officeDocument/2006/relationships/hyperlink" Target="https://circletype.labwire.ca/" TargetMode="External"/><Relationship Id="rId699" Type="http://schemas.openxmlformats.org/officeDocument/2006/relationships/hyperlink" Target="https://evanw.github.io/glfx.js/" TargetMode="External"/><Relationship Id="rId49" Type="http://schemas.openxmlformats.org/officeDocument/2006/relationships/hyperlink" Target="https://blobs.dev/" TargetMode="External"/><Relationship Id="rId114" Type="http://schemas.openxmlformats.org/officeDocument/2006/relationships/hyperlink" Target="https://guansss.github.io/pixi-live2d-display/" TargetMode="External"/><Relationship Id="rId461" Type="http://schemas.openxmlformats.org/officeDocument/2006/relationships/hyperlink" Target="https://visjs.github.io/vis-network/examples/" TargetMode="External"/><Relationship Id="rId559" Type="http://schemas.openxmlformats.org/officeDocument/2006/relationships/hyperlink" Target="https://github.com/antvis/L7" TargetMode="External"/><Relationship Id="rId766" Type="http://schemas.openxmlformats.org/officeDocument/2006/relationships/hyperlink" Target="https://github.com/Stuk/jszip" TargetMode="External"/><Relationship Id="rId198" Type="http://schemas.openxmlformats.org/officeDocument/2006/relationships/hyperlink" Target="https://scrollmagic.io/examples/" TargetMode="External"/><Relationship Id="rId321" Type="http://schemas.openxmlformats.org/officeDocument/2006/relationships/hyperlink" Target="https://pmndrs.github.io/cannon-es/" TargetMode="External"/><Relationship Id="rId419" Type="http://schemas.openxmlformats.org/officeDocument/2006/relationships/hyperlink" Target="https://www.tradingview.com/lightweight-charts/" TargetMode="External"/><Relationship Id="rId626" Type="http://schemas.openxmlformats.org/officeDocument/2006/relationships/hyperlink" Target="https://teachablemachine.withgoogle.com/" TargetMode="External"/><Relationship Id="rId973" Type="http://schemas.openxmlformats.org/officeDocument/2006/relationships/hyperlink" Target="https://github.com/rwaldron/johnny-five" TargetMode="External"/><Relationship Id="rId833" Type="http://schemas.openxmlformats.org/officeDocument/2006/relationships/hyperlink" Target="https://github.com/sweetalert2/sweetalert2" TargetMode="External"/><Relationship Id="rId265" Type="http://schemas.openxmlformats.org/officeDocument/2006/relationships/hyperlink" Target="https://github.com/rough-stuff/rough-notation" TargetMode="External"/><Relationship Id="rId472" Type="http://schemas.openxmlformats.org/officeDocument/2006/relationships/hyperlink" Target="https://github.com/vasturiano/3d-force-graph" TargetMode="External"/><Relationship Id="rId900" Type="http://schemas.openxmlformats.org/officeDocument/2006/relationships/hyperlink" Target="https://editorjs.io/" TargetMode="External"/><Relationship Id="rId125" Type="http://schemas.openxmlformats.org/officeDocument/2006/relationships/hyperlink" Target="https://lil-gui.georgealways.com/" TargetMode="External"/><Relationship Id="rId332" Type="http://schemas.openxmlformats.org/officeDocument/2006/relationships/hyperlink" Target="https://github.com/lo-th/Oimo.js" TargetMode="External"/><Relationship Id="rId777" Type="http://schemas.openxmlformats.org/officeDocument/2006/relationships/hyperlink" Target="https://github.com/slidevjs/slidev" TargetMode="External"/><Relationship Id="rId637" Type="http://schemas.openxmlformats.org/officeDocument/2006/relationships/hyperlink" Target="https://github.com/anthropics/anthropic-sdk-typescript" TargetMode="External"/><Relationship Id="rId844" Type="http://schemas.openxmlformats.org/officeDocument/2006/relationships/hyperlink" Target="https://split.js.org/" TargetMode="External"/><Relationship Id="rId276" Type="http://schemas.openxmlformats.org/officeDocument/2006/relationships/hyperlink" Target="https://drawcall.github.io/Proton/" TargetMode="External"/><Relationship Id="rId483" Type="http://schemas.openxmlformats.org/officeDocument/2006/relationships/hyperlink" Target="https://app.mind-elixir.com/en" TargetMode="External"/><Relationship Id="rId690" Type="http://schemas.openxmlformats.org/officeDocument/2006/relationships/hyperlink" Target="https://github.com/video-dev/hls.js" TargetMode="External"/><Relationship Id="rId704" Type="http://schemas.openxmlformats.org/officeDocument/2006/relationships/hyperlink" Target="https://github.com/scaleflex/filerobot-image-editor" TargetMode="External"/><Relationship Id="rId911" Type="http://schemas.openxmlformats.org/officeDocument/2006/relationships/hyperlink" Target="https://firebase.google.com/docs/web/setup" TargetMode="External"/><Relationship Id="rId40" Type="http://schemas.openxmlformats.org/officeDocument/2006/relationships/hyperlink" Target="https://hydra.ojack.xyz/" TargetMode="External"/><Relationship Id="rId136" Type="http://schemas.openxmlformats.org/officeDocument/2006/relationships/hyperlink" Target="https://github.com/creativelifeform/three-nebula" TargetMode="External"/><Relationship Id="rId343" Type="http://schemas.openxmlformats.org/officeDocument/2006/relationships/hyperlink" Target="https://github.com/excaliburjs/Excalibur" TargetMode="External"/><Relationship Id="rId550" Type="http://schemas.openxmlformats.org/officeDocument/2006/relationships/hyperlink" Target="https://github.com/keplergl/kepler.gl" TargetMode="External"/><Relationship Id="rId788" Type="http://schemas.openxmlformats.org/officeDocument/2006/relationships/hyperlink" Target="https://introjs.com/" TargetMode="External"/><Relationship Id="rId203" Type="http://schemas.openxmlformats.org/officeDocument/2006/relationships/hyperlink" Target="https://scrollrevealjs.org/" TargetMode="External"/><Relationship Id="rId648" Type="http://schemas.openxmlformats.org/officeDocument/2006/relationships/hyperlink" Target="https://vladmandic.github.io/human/samples/index.html" TargetMode="External"/><Relationship Id="rId855" Type="http://schemas.openxmlformats.org/officeDocument/2006/relationships/hyperlink" Target="https://iconify.design/" TargetMode="External"/><Relationship Id="rId287" Type="http://schemas.openxmlformats.org/officeDocument/2006/relationships/hyperlink" Target="https://www.kirilv.com/canvas-confetti/" TargetMode="External"/><Relationship Id="rId410" Type="http://schemas.openxmlformats.org/officeDocument/2006/relationships/hyperlink" Target="https://g2.antv.antgroup.com/" TargetMode="External"/><Relationship Id="rId494" Type="http://schemas.openxmlformats.org/officeDocument/2006/relationships/hyperlink" Target="https://github.com/jagenjo/litegraph.js" TargetMode="External"/><Relationship Id="rId508" Type="http://schemas.openxmlformats.org/officeDocument/2006/relationships/hyperlink" Target="https://github.com/bpmn-io/bpmn-js" TargetMode="External"/><Relationship Id="rId715" Type="http://schemas.openxmlformats.org/officeDocument/2006/relationships/hyperlink" Target="https://photoswipe.com/" TargetMode="External"/><Relationship Id="rId922" Type="http://schemas.openxmlformats.org/officeDocument/2006/relationships/hyperlink" Target="https://github.com/localForage/localForage" TargetMode="External"/><Relationship Id="rId147" Type="http://schemas.openxmlformats.org/officeDocument/2006/relationships/hyperlink" Target="https://motion.dev/examples" TargetMode="External"/><Relationship Id="rId354" Type="http://schemas.openxmlformats.org/officeDocument/2006/relationships/hyperlink" Target="https://www.cocos.com/en/creator" TargetMode="External"/><Relationship Id="rId799" Type="http://schemas.openxmlformats.org/officeDocument/2006/relationships/hyperlink" Target="https://geogebra.github.io/docs/reference/en/GeoGebra_Apps_API/" TargetMode="External"/><Relationship Id="rId51" Type="http://schemas.openxmlformats.org/officeDocument/2006/relationships/hyperlink" Target="https://github.com/veltman/flubber" TargetMode="External"/><Relationship Id="rId561" Type="http://schemas.openxmlformats.org/officeDocument/2006/relationships/hyperlink" Target="https://tonejs.github.io/examples/" TargetMode="External"/><Relationship Id="rId659" Type="http://schemas.openxmlformats.org/officeDocument/2006/relationships/hyperlink" Target="https://immersive-web.github.io/webxr-samples/" TargetMode="External"/><Relationship Id="rId866" Type="http://schemas.openxmlformats.org/officeDocument/2006/relationships/hyperlink" Target="https://reactbits.dev/" TargetMode="External"/><Relationship Id="rId214" Type="http://schemas.openxmlformats.org/officeDocument/2006/relationships/hyperlink" Target="https://github.com/wagerfield/parallax" TargetMode="External"/><Relationship Id="rId298" Type="http://schemas.openxmlformats.org/officeDocument/2006/relationships/hyperlink" Target="https://github.com/PavelDoGreat/WebGL-Fluid-Simulation" TargetMode="External"/><Relationship Id="rId421" Type="http://schemas.openxmlformats.org/officeDocument/2006/relationships/hyperlink" Target="https://github.com/tradingview/lightweight-charts" TargetMode="External"/><Relationship Id="rId519" Type="http://schemas.openxmlformats.org/officeDocument/2006/relationships/hyperlink" Target="https://fullcalendar.io/demos" TargetMode="External"/><Relationship Id="rId158" Type="http://schemas.openxmlformats.org/officeDocument/2006/relationships/hyperlink" Target="https://docs.lottiefiles.com/en" TargetMode="External"/><Relationship Id="rId726" Type="http://schemas.openxmlformats.org/officeDocument/2006/relationships/hyperlink" Target="https://github.com/szimek/signature_pad" TargetMode="External"/><Relationship Id="rId933" Type="http://schemas.openxmlformats.org/officeDocument/2006/relationships/hyperlink" Target="https://day.js.org/" TargetMode="External"/><Relationship Id="rId62" Type="http://schemas.openxmlformats.org/officeDocument/2006/relationships/hyperlink" Target="https://github.com/playcanvas/engine" TargetMode="External"/><Relationship Id="rId365" Type="http://schemas.openxmlformats.org/officeDocument/2006/relationships/hyperlink" Target="https://boardgame.io/" TargetMode="External"/><Relationship Id="rId572" Type="http://schemas.openxmlformats.org/officeDocument/2006/relationships/hyperlink" Target="https://strudel.cc/" TargetMode="External"/><Relationship Id="rId225" Type="http://schemas.openxmlformats.org/officeDocument/2006/relationships/hyperlink" Target="https://swiperjs.com/demos" TargetMode="External"/><Relationship Id="rId432" Type="http://schemas.openxmlformats.org/officeDocument/2006/relationships/hyperlink" Target="https://github.hubspot.com/odometer/docs/welcome/" TargetMode="External"/><Relationship Id="rId877" Type="http://schemas.openxmlformats.org/officeDocument/2006/relationships/hyperlink" Target="https://github.com/codemirror/dev" TargetMode="External"/><Relationship Id="rId737" Type="http://schemas.openxmlformats.org/officeDocument/2006/relationships/hyperlink" Target="https://github.com/parallax/jsPDF" TargetMode="External"/><Relationship Id="rId944" Type="http://schemas.openxmlformats.org/officeDocument/2006/relationships/hyperlink" Target="https://react.dev/" TargetMode="External"/><Relationship Id="rId73" Type="http://schemas.openxmlformats.org/officeDocument/2006/relationships/hyperlink" Target="https://threlte.xyz/" TargetMode="External"/><Relationship Id="rId169" Type="http://schemas.openxmlformats.org/officeDocument/2006/relationships/hyperlink" Target="https://github.com/formkit/auto-animate" TargetMode="External"/><Relationship Id="rId376" Type="http://schemas.openxmlformats.org/officeDocument/2006/relationships/hyperlink" Target="https://github.com/chr15m/jsfxr" TargetMode="External"/><Relationship Id="rId583" Type="http://schemas.openxmlformats.org/officeDocument/2006/relationships/hyperlink" Target="https://github.com/jberg/butterchurn" TargetMode="External"/><Relationship Id="rId790" Type="http://schemas.openxmlformats.org/officeDocument/2006/relationships/hyperlink" Target="https://katex.org/" TargetMode="External"/><Relationship Id="rId804" Type="http://schemas.openxmlformats.org/officeDocument/2006/relationships/hyperlink" Target="https://mauriciopoppe.github.io/function-plot/" TargetMode="External"/><Relationship Id="rId4" Type="http://schemas.openxmlformats.org/officeDocument/2006/relationships/hyperlink" Target="https://q5js.org/" TargetMode="External"/><Relationship Id="rId236" Type="http://schemas.openxmlformats.org/officeDocument/2006/relationships/hyperlink" Target="https://mattboldt.com/demos/typed-js/" TargetMode="External"/><Relationship Id="rId443" Type="http://schemas.openxmlformats.org/officeDocument/2006/relationships/hyperlink" Target="https://tabulator.info/" TargetMode="External"/><Relationship Id="rId650" Type="http://schemas.openxmlformats.org/officeDocument/2006/relationships/hyperlink" Target="https://docs.opencv.org/4.x/d5/d10/tutorial_js_root.html" TargetMode="External"/><Relationship Id="rId888" Type="http://schemas.openxmlformats.org/officeDocument/2006/relationships/hyperlink" Target="https://shiki.style/" TargetMode="External"/><Relationship Id="rId303" Type="http://schemas.openxmlformats.org/officeDocument/2006/relationships/hyperlink" Target="https://cobe.vercel.app/" TargetMode="External"/><Relationship Id="rId748" Type="http://schemas.openxmlformats.org/officeDocument/2006/relationships/hyperlink" Target="https://github.com/gitbrent/PptxGenJS" TargetMode="External"/><Relationship Id="rId955" Type="http://schemas.openxmlformats.org/officeDocument/2006/relationships/hyperlink" Target="https://github.com/alpinejs/alpine" TargetMode="External"/><Relationship Id="rId84" Type="http://schemas.openxmlformats.org/officeDocument/2006/relationships/hyperlink" Target="https://twgljs.org/" TargetMode="External"/><Relationship Id="rId387" Type="http://schemas.openxmlformats.org/officeDocument/2006/relationships/hyperlink" Target="https://plotly.com/javascript/basic-charts/" TargetMode="External"/><Relationship Id="rId510" Type="http://schemas.openxmlformats.org/officeDocument/2006/relationships/hyperlink" Target="https://excalidraw.com/" TargetMode="External"/><Relationship Id="rId594" Type="http://schemas.openxmlformats.org/officeDocument/2006/relationships/hyperlink" Target="https://opensheetmusicdisplay.github.io/demo/" TargetMode="External"/><Relationship Id="rId608" Type="http://schemas.openxmlformats.org/officeDocument/2006/relationships/hyperlink" Target="https://ml5js.org/" TargetMode="External"/><Relationship Id="rId815" Type="http://schemas.openxmlformats.org/officeDocument/2006/relationships/hyperlink" Target="https://github.com/3dmol/3Dmol.js" TargetMode="External"/><Relationship Id="rId247" Type="http://schemas.openxmlformats.org/officeDocument/2006/relationships/hyperlink" Target="https://github.com/lukePeavey/SplitType" TargetMode="External"/><Relationship Id="rId899" Type="http://schemas.openxmlformats.org/officeDocument/2006/relationships/hyperlink" Target="https://editorjs.io/" TargetMode="External"/><Relationship Id="rId107" Type="http://schemas.openxmlformats.org/officeDocument/2006/relationships/hyperlink" Target="https://gpu.rocks/" TargetMode="External"/><Relationship Id="rId454" Type="http://schemas.openxmlformats.org/officeDocument/2006/relationships/hyperlink" Target="https://github.com/DataTables/DataTables" TargetMode="External"/><Relationship Id="rId661" Type="http://schemas.openxmlformats.org/officeDocument/2006/relationships/hyperlink" Target="https://github.com/immersive-web/webxr-samples" TargetMode="External"/><Relationship Id="rId759" Type="http://schemas.openxmlformats.org/officeDocument/2006/relationships/hyperlink" Target="https://lindell.me/JsBarcode/" TargetMode="External"/><Relationship Id="rId966" Type="http://schemas.openxmlformats.org/officeDocument/2006/relationships/hyperlink" Target="https://playground.solidjs.com/" TargetMode="External"/><Relationship Id="rId11" Type="http://schemas.openxmlformats.org/officeDocument/2006/relationships/hyperlink" Target="https://two.js.org/examples/" TargetMode="External"/><Relationship Id="rId314" Type="http://schemas.openxmlformats.org/officeDocument/2006/relationships/hyperlink" Target="https://piqnt.com/planck.js/" TargetMode="External"/><Relationship Id="rId398" Type="http://schemas.openxmlformats.org/officeDocument/2006/relationships/hyperlink" Target="https://nivo.rocks/" TargetMode="External"/><Relationship Id="rId521" Type="http://schemas.openxmlformats.org/officeDocument/2006/relationships/hyperlink" Target="https://www.nomnoml.com/" TargetMode="External"/><Relationship Id="rId619" Type="http://schemas.openxmlformats.org/officeDocument/2006/relationships/hyperlink" Target="https://github.com/microsoft/onnxruntime" TargetMode="External"/><Relationship Id="rId95" Type="http://schemas.openxmlformats.org/officeDocument/2006/relationships/hyperlink" Target="https://github.com/splinetool/react-spline" TargetMode="External"/><Relationship Id="rId160" Type="http://schemas.openxmlformats.org/officeDocument/2006/relationships/hyperlink" Target="https://github.com/LottieFiles/dotlottie-web" TargetMode="External"/><Relationship Id="rId826" Type="http://schemas.openxmlformats.org/officeDocument/2006/relationships/hyperlink" Target="https://atomiks.github.io/tippyjs/" TargetMode="External"/><Relationship Id="rId258" Type="http://schemas.openxmlformats.org/officeDocument/2006/relationships/hyperlink" Target="https://rikschennink.github.io/fitty/" TargetMode="External"/><Relationship Id="rId465" Type="http://schemas.openxmlformats.org/officeDocument/2006/relationships/hyperlink" Target="https://visjs.github.io/vis-timeline/examples/timeline/" TargetMode="External"/><Relationship Id="rId672" Type="http://schemas.openxmlformats.org/officeDocument/2006/relationships/hyperlink" Target="https://ffmpegwasm.netlify.app/playground" TargetMode="External"/><Relationship Id="rId22" Type="http://schemas.openxmlformats.org/officeDocument/2006/relationships/hyperlink" Target="https://createjs.com/easeljs" TargetMode="External"/><Relationship Id="rId118" Type="http://schemas.openxmlformats.org/officeDocument/2006/relationships/hyperlink" Target="https://github.com/CesiumGS/cesium" TargetMode="External"/><Relationship Id="rId325" Type="http://schemas.openxmlformats.org/officeDocument/2006/relationships/hyperlink" Target="https://github.com/dimforge/rapier" TargetMode="External"/><Relationship Id="rId532" Type="http://schemas.openxmlformats.org/officeDocument/2006/relationships/hyperlink" Target="https://github.com/maplibre/maplibre-gl-js" TargetMode="External"/><Relationship Id="rId171" Type="http://schemas.openxmlformats.org/officeDocument/2006/relationships/hyperlink" Target="https://animate.style/" TargetMode="External"/><Relationship Id="rId837" Type="http://schemas.openxmlformats.org/officeDocument/2006/relationships/hyperlink" Target="https://flatpickr.js.org/" TargetMode="External"/><Relationship Id="rId269" Type="http://schemas.openxmlformats.org/officeDocument/2006/relationships/hyperlink" Target="https://particles.js.org/" TargetMode="External"/><Relationship Id="rId476" Type="http://schemas.openxmlformats.org/officeDocument/2006/relationships/hyperlink" Target="https://mermaid.js.org/" TargetMode="External"/><Relationship Id="rId683" Type="http://schemas.openxmlformats.org/officeDocument/2006/relationships/hyperlink" Target="https://videojs.org/" TargetMode="External"/><Relationship Id="rId890" Type="http://schemas.openxmlformats.org/officeDocument/2006/relationships/hyperlink" Target="https://xtermjs.org/" TargetMode="External"/><Relationship Id="rId904" Type="http://schemas.openxmlformats.org/officeDocument/2006/relationships/hyperlink" Target="https://github.com/socketio/socket.io" TargetMode="External"/><Relationship Id="rId33" Type="http://schemas.openxmlformats.org/officeDocument/2006/relationships/hyperlink" Target="https://github.com/svgdotjs/svg.js" TargetMode="External"/><Relationship Id="rId129" Type="http://schemas.openxmlformats.org/officeDocument/2006/relationships/hyperlink" Target="https://tweakpane.github.io/docs/" TargetMode="External"/><Relationship Id="rId336" Type="http://schemas.openxmlformats.org/officeDocument/2006/relationships/hyperlink" Target="https://labs.phaser.io/" TargetMode="External"/><Relationship Id="rId543" Type="http://schemas.openxmlformats.org/officeDocument/2006/relationships/hyperlink" Target="https://globe.gl/" TargetMode="External"/><Relationship Id="rId182" Type="http://schemas.openxmlformats.org/officeDocument/2006/relationships/hyperlink" Target="https://daybrush.com/scenejs/" TargetMode="External"/><Relationship Id="rId403" Type="http://schemas.openxmlformats.org/officeDocument/2006/relationships/hyperlink" Target="https://github.com/FormidableLabs/victory" TargetMode="External"/><Relationship Id="rId750" Type="http://schemas.openxmlformats.org/officeDocument/2006/relationships/hyperlink" Target="https://docx.js.org/" TargetMode="External"/><Relationship Id="rId848" Type="http://schemas.openxmlformats.org/officeDocument/2006/relationships/hyperlink" Target="https://github.com/nextapps-de/winbox" TargetMode="External"/><Relationship Id="rId487" Type="http://schemas.openxmlformats.org/officeDocument/2006/relationships/hyperlink" Target="https://github.com/hizzgdev/jsmind" TargetMode="External"/><Relationship Id="rId610" Type="http://schemas.openxmlformats.org/officeDocument/2006/relationships/hyperlink" Target="https://github.com/ml5js/ml5-next-gen" TargetMode="External"/><Relationship Id="rId694" Type="http://schemas.openxmlformats.org/officeDocument/2006/relationships/hyperlink" Target="https://github.com/bubkoo/html-to-image" TargetMode="External"/><Relationship Id="rId708" Type="http://schemas.openxmlformats.org/officeDocument/2006/relationships/hyperlink" Target="https://pannellum.org/" TargetMode="External"/><Relationship Id="rId915" Type="http://schemas.openxmlformats.org/officeDocument/2006/relationships/hyperlink" Target="https://supabase.com/docs/guides/getting-started" TargetMode="External"/><Relationship Id="rId347" Type="http://schemas.openxmlformats.org/officeDocument/2006/relationships/hyperlink" Target="https://github.com/KilledByAPixel/LittleJS" TargetMode="External"/><Relationship Id="rId44" Type="http://schemas.openxmlformats.org/officeDocument/2006/relationships/hyperlink" Target="https://gka.github.io/palettes/" TargetMode="External"/><Relationship Id="rId554" Type="http://schemas.openxmlformats.org/officeDocument/2006/relationships/hyperlink" Target="https://developers.arcgis.com/javascript/latest/" TargetMode="External"/><Relationship Id="rId761" Type="http://schemas.openxmlformats.org/officeDocument/2006/relationships/hyperlink" Target="https://github.com/mebjas/html5-qrcode" TargetMode="External"/><Relationship Id="rId859" Type="http://schemas.openxmlformats.org/officeDocument/2006/relationships/hyperlink" Target="https://ui.shadcn.com/blocks" TargetMode="External"/><Relationship Id="rId193" Type="http://schemas.openxmlformats.org/officeDocument/2006/relationships/hyperlink" Target="https://github.com/darkroomengineering/lenis" TargetMode="External"/><Relationship Id="rId207" Type="http://schemas.openxmlformats.org/officeDocument/2006/relationships/hyperlink" Target="https://russellsamora.github.io/scrollama/" TargetMode="External"/><Relationship Id="rId414" Type="http://schemas.openxmlformats.org/officeDocument/2006/relationships/hyperlink" Target="https://naver.github.io/billboard.js/demo/" TargetMode="External"/><Relationship Id="rId498" Type="http://schemas.openxmlformats.org/officeDocument/2006/relationships/hyperlink" Target="https://retejs.org/examples" TargetMode="External"/><Relationship Id="rId621" Type="http://schemas.openxmlformats.org/officeDocument/2006/relationships/hyperlink" Target="https://chat.webllm.ai/" TargetMode="External"/><Relationship Id="rId260" Type="http://schemas.openxmlformats.org/officeDocument/2006/relationships/hyperlink" Target="https://opentype.js.org/" TargetMode="External"/><Relationship Id="rId719" Type="http://schemas.openxmlformats.org/officeDocument/2006/relationships/hyperlink" Target="https://github.com/biati-digital/glightbox" TargetMode="External"/><Relationship Id="rId926" Type="http://schemas.openxmlformats.org/officeDocument/2006/relationships/hyperlink" Target="https://duckdb.org/docs/api/wasm/overview" TargetMode="External"/><Relationship Id="rId55" Type="http://schemas.openxmlformats.org/officeDocument/2006/relationships/hyperlink" Target="https://threejs.org/examples/" TargetMode="External"/><Relationship Id="rId120" Type="http://schemas.openxmlformats.org/officeDocument/2006/relationships/hyperlink" Target="https://pmndrs.github.io/postprocessing/public/demo/" TargetMode="External"/><Relationship Id="rId358" Type="http://schemas.openxmlformats.org/officeDocument/2006/relationships/hyperlink" Target="https://github.com/4ian/GDevelop" TargetMode="External"/><Relationship Id="rId565" Type="http://schemas.openxmlformats.org/officeDocument/2006/relationships/hyperlink" Target="https://github.com/goldfire/howler.js" TargetMode="External"/><Relationship Id="rId772" Type="http://schemas.openxmlformats.org/officeDocument/2006/relationships/hyperlink" Target="https://impress.js.org/" TargetMode="External"/><Relationship Id="rId218" Type="http://schemas.openxmlformats.org/officeDocument/2006/relationships/hyperlink" Target="https://micku7zu.github.io/vanilla-tilt.js/" TargetMode="External"/><Relationship Id="rId425" Type="http://schemas.openxmlformats.org/officeDocument/2006/relationships/hyperlink" Target="https://www.amcharts.com/" TargetMode="External"/><Relationship Id="rId632" Type="http://schemas.openxmlformats.org/officeDocument/2006/relationships/hyperlink" Target="https://work.spencermountain.dev/compromise/" TargetMode="External"/><Relationship Id="rId271" Type="http://schemas.openxmlformats.org/officeDocument/2006/relationships/hyperlink" Target="https://github.com/tsparticles/tsparticles" TargetMode="External"/><Relationship Id="rId937" Type="http://schemas.openxmlformats.org/officeDocument/2006/relationships/hyperlink" Target="https://github.com/lodash/lodash" TargetMode="External"/><Relationship Id="rId66" Type="http://schemas.openxmlformats.org/officeDocument/2006/relationships/hyperlink" Target="https://r3f.docs.pmnd.rs/" TargetMode="External"/><Relationship Id="rId131" Type="http://schemas.openxmlformats.org/officeDocument/2006/relationships/hyperlink" Target="https://protectwise.github.io/troika/troika-three-text/" TargetMode="External"/><Relationship Id="rId369" Type="http://schemas.openxmlformats.org/officeDocument/2006/relationships/hyperlink" Target="https://colyseus.io/" TargetMode="External"/><Relationship Id="rId576" Type="http://schemas.openxmlformats.org/officeDocument/2006/relationships/hyperlink" Target="https://meyda.js.org/" TargetMode="External"/><Relationship Id="rId783" Type="http://schemas.openxmlformats.org/officeDocument/2006/relationships/hyperlink" Target="https://github.com/shipshapecode/shepherd" TargetMode="External"/><Relationship Id="rId229" Type="http://schemas.openxmlformats.org/officeDocument/2006/relationships/hyperlink" Target="https://github.com/Splidejs/splide" TargetMode="External"/><Relationship Id="rId436" Type="http://schemas.openxmlformats.org/officeDocument/2006/relationships/hyperlink" Target="https://github.com/timdream/wordcloud2.js" TargetMode="External"/><Relationship Id="rId643" Type="http://schemas.openxmlformats.org/officeDocument/2006/relationships/hyperlink" Target="https://github.com/langchain-ai/langchainjs" TargetMode="External"/><Relationship Id="rId850" Type="http://schemas.openxmlformats.org/officeDocument/2006/relationships/hyperlink" Target="https://wiredjs.com/" TargetMode="External"/><Relationship Id="rId948" Type="http://schemas.openxmlformats.org/officeDocument/2006/relationships/hyperlink" Target="https://vuejs.org/examples/" TargetMode="External"/><Relationship Id="rId77" Type="http://schemas.openxmlformats.org/officeDocument/2006/relationships/hyperlink" Target="https://github.com/Tresjs/tres" TargetMode="External"/><Relationship Id="rId282" Type="http://schemas.openxmlformats.org/officeDocument/2006/relationships/hyperlink" Target="https://sarcadass.github.io/granim.js/examples.html" TargetMode="External"/><Relationship Id="rId503" Type="http://schemas.openxmlformats.org/officeDocument/2006/relationships/hyperlink" Target="https://gojs.net/" TargetMode="External"/><Relationship Id="rId587" Type="http://schemas.openxmlformats.org/officeDocument/2006/relationships/hyperlink" Target="https://www.abcjs.net/" TargetMode="External"/><Relationship Id="rId710" Type="http://schemas.openxmlformats.org/officeDocument/2006/relationships/hyperlink" Target="https://github.com/mpetroff/pannellum" TargetMode="External"/><Relationship Id="rId808" Type="http://schemas.openxmlformats.org/officeDocument/2006/relationships/hyperlink" Target="https://mafs.dev/" TargetMode="External"/><Relationship Id="rId8" Type="http://schemas.openxmlformats.org/officeDocument/2006/relationships/hyperlink" Target="http://paperjs.org/examples/" TargetMode="External"/><Relationship Id="rId142" Type="http://schemas.openxmlformats.org/officeDocument/2006/relationships/hyperlink" Target="https://github.com/greensock/GSAP" TargetMode="External"/><Relationship Id="rId447" Type="http://schemas.openxmlformats.org/officeDocument/2006/relationships/hyperlink" Target="https://www.ag-grid.com/example/" TargetMode="External"/><Relationship Id="rId794" Type="http://schemas.openxmlformats.org/officeDocument/2006/relationships/hyperlink" Target="https://www.mathjax.org/" TargetMode="External"/><Relationship Id="rId654" Type="http://schemas.openxmlformats.org/officeDocument/2006/relationships/hyperlink" Target="https://hiukim.github.io/mind-ar-js-doc/examples/summary" TargetMode="External"/><Relationship Id="rId861" Type="http://schemas.openxmlformats.org/officeDocument/2006/relationships/hyperlink" Target="https://ui.aceternity.com/" TargetMode="External"/><Relationship Id="rId959" Type="http://schemas.openxmlformats.org/officeDocument/2006/relationships/hyperlink" Target="https://lit.dev/" TargetMode="External"/><Relationship Id="rId293" Type="http://schemas.openxmlformats.org/officeDocument/2006/relationships/hyperlink" Target="https://fireworks.js.org/" TargetMode="External"/><Relationship Id="rId307" Type="http://schemas.openxmlformats.org/officeDocument/2006/relationships/hyperlink" Target="https://github.com/robin-dela/hover-effect" TargetMode="External"/><Relationship Id="rId514" Type="http://schemas.openxmlformats.org/officeDocument/2006/relationships/hyperlink" Target="https://github.com/tldraw/tldraw" TargetMode="External"/><Relationship Id="rId721" Type="http://schemas.openxmlformats.org/officeDocument/2006/relationships/hyperlink" Target="https://masonry.desandro.com/" TargetMode="External"/><Relationship Id="rId88" Type="http://schemas.openxmlformats.org/officeDocument/2006/relationships/hyperlink" Target="https://luma.gl/examples" TargetMode="External"/><Relationship Id="rId153" Type="http://schemas.openxmlformats.org/officeDocument/2006/relationships/hyperlink" Target="https://mojs.github.io/tutorials/" TargetMode="External"/><Relationship Id="rId360" Type="http://schemas.openxmlformats.org/officeDocument/2006/relationships/hyperlink" Target="https://ondras.github.io/rot.js/manual/" TargetMode="External"/><Relationship Id="rId598" Type="http://schemas.openxmlformats.org/officeDocument/2006/relationships/hyperlink" Target="https://github.com/djipco/webmidi" TargetMode="External"/><Relationship Id="rId819" Type="http://schemas.openxmlformats.org/officeDocument/2006/relationships/hyperlink" Target="https://interactjs.io/" TargetMode="External"/><Relationship Id="rId220" Type="http://schemas.openxmlformats.org/officeDocument/2006/relationships/hyperlink" Target="https://github.com/micku7zu/vanilla-tilt.js" TargetMode="External"/><Relationship Id="rId458" Type="http://schemas.openxmlformats.org/officeDocument/2006/relationships/hyperlink" Target="https://www.sigmajs.org/" TargetMode="External"/><Relationship Id="rId665" Type="http://schemas.openxmlformats.org/officeDocument/2006/relationships/hyperlink" Target="https://motioncanvas.io/" TargetMode="External"/><Relationship Id="rId872" Type="http://schemas.openxmlformats.org/officeDocument/2006/relationships/hyperlink" Target="https://daisyui.com/" TargetMode="External"/><Relationship Id="rId15" Type="http://schemas.openxmlformats.org/officeDocument/2006/relationships/hyperlink" Target="https://github.com/konvajs/konva" TargetMode="External"/><Relationship Id="rId318" Type="http://schemas.openxmlformats.org/officeDocument/2006/relationships/hyperlink" Target="https://schteppe.github.io/p2.js/" TargetMode="External"/><Relationship Id="rId525" Type="http://schemas.openxmlformats.org/officeDocument/2006/relationships/hyperlink" Target="https://viz-js.com/" TargetMode="External"/><Relationship Id="rId732" Type="http://schemas.openxmlformats.org/officeDocument/2006/relationships/hyperlink" Target="https://mozilla.github.io/pdf.js/" TargetMode="External"/><Relationship Id="rId99" Type="http://schemas.openxmlformats.org/officeDocument/2006/relationships/hyperlink" Target="https://shaderpark.com/explore" TargetMode="External"/><Relationship Id="rId164" Type="http://schemas.openxmlformats.org/officeDocument/2006/relationships/hyperlink" Target="https://github.com/tweenjs/tween.js" TargetMode="External"/><Relationship Id="rId371" Type="http://schemas.openxmlformats.org/officeDocument/2006/relationships/hyperlink" Target="https://github.com/KilledByAPixel/ZzFX" TargetMode="External"/><Relationship Id="rId469" Type="http://schemas.openxmlformats.org/officeDocument/2006/relationships/hyperlink" Target="https://github.com/vasturiano/force-graph" TargetMode="External"/><Relationship Id="rId676" Type="http://schemas.openxmlformats.org/officeDocument/2006/relationships/hyperlink" Target="https://github.com/Vanilagy/mediabunny" TargetMode="External"/><Relationship Id="rId883" Type="http://schemas.openxmlformats.org/officeDocument/2006/relationships/hyperlink" Target="https://github.com/highlightjs/highlight.js" TargetMode="External"/><Relationship Id="rId26" Type="http://schemas.openxmlformats.org/officeDocument/2006/relationships/hyperlink" Target="https://roughjs.com/" TargetMode="External"/><Relationship Id="rId231" Type="http://schemas.openxmlformats.org/officeDocument/2006/relationships/hyperlink" Target="https://www.embla-carousel.com/docs/examples/predefined" TargetMode="External"/><Relationship Id="rId329" Type="http://schemas.openxmlformats.org/officeDocument/2006/relationships/hyperlink" Target="https://github.com/jrouwe/JoltPhysics.js" TargetMode="External"/><Relationship Id="rId536" Type="http://schemas.openxmlformats.org/officeDocument/2006/relationships/hyperlink" Target="https://openlayers.org/" TargetMode="External"/><Relationship Id="rId175" Type="http://schemas.openxmlformats.org/officeDocument/2006/relationships/hyperlink" Target="https://github.com/barbajs/barba" TargetMode="External"/><Relationship Id="rId743" Type="http://schemas.openxmlformats.org/officeDocument/2006/relationships/hyperlink" Target="https://git.sheetjs.com/sheetjs/sheetjs" TargetMode="External"/><Relationship Id="rId950" Type="http://schemas.openxmlformats.org/officeDocument/2006/relationships/hyperlink" Target="https://svelte.dev/" TargetMode="External"/><Relationship Id="rId382" Type="http://schemas.openxmlformats.org/officeDocument/2006/relationships/hyperlink" Target="https://github.com/chartjs/Chart.js" TargetMode="External"/><Relationship Id="rId603" Type="http://schemas.openxmlformats.org/officeDocument/2006/relationships/hyperlink" Target="https://alemangui.github.io/pizzicato/" TargetMode="External"/><Relationship Id="rId687" Type="http://schemas.openxmlformats.org/officeDocument/2006/relationships/hyperlink" Target="https://github.com/sampotts/plyr" TargetMode="External"/><Relationship Id="rId810" Type="http://schemas.openxmlformats.org/officeDocument/2006/relationships/hyperlink" Target="https://mathjs.org/" TargetMode="External"/><Relationship Id="rId908" Type="http://schemas.openxmlformats.org/officeDocument/2006/relationships/hyperlink" Target="https://yjs.dev/" TargetMode="External"/><Relationship Id="rId242" Type="http://schemas.openxmlformats.org/officeDocument/2006/relationships/hyperlink" Target="https://splitting.js.org/" TargetMode="External"/><Relationship Id="rId894" Type="http://schemas.openxmlformats.org/officeDocument/2006/relationships/hyperlink" Target="https://quilljs.com/playground/snow" TargetMode="External"/><Relationship Id="rId37" Type="http://schemas.openxmlformats.org/officeDocument/2006/relationships/hyperlink" Target="https://github.com/mattdesl/canvas-sketch" TargetMode="External"/><Relationship Id="rId102" Type="http://schemas.openxmlformats.org/officeDocument/2006/relationships/hyperlink" Target="https://thebookofshaders.com/" TargetMode="External"/><Relationship Id="rId547" Type="http://schemas.openxmlformats.org/officeDocument/2006/relationships/hyperlink" Target="https://github.com/visgl/deck.gl" TargetMode="External"/><Relationship Id="rId754" Type="http://schemas.openxmlformats.org/officeDocument/2006/relationships/hyperlink" Target="https://github.com/mholt/PapaParse" TargetMode="External"/><Relationship Id="rId961" Type="http://schemas.openxmlformats.org/officeDocument/2006/relationships/hyperlink" Target="https://github.com/lit/lit" TargetMode="External"/><Relationship Id="rId90" Type="http://schemas.openxmlformats.org/officeDocument/2006/relationships/hyperlink" Target="https://modelviewer.dev/" TargetMode="External"/><Relationship Id="rId186" Type="http://schemas.openxmlformats.org/officeDocument/2006/relationships/hyperlink" Target="https://maxwellito.github.io/vivus/" TargetMode="External"/><Relationship Id="rId393" Type="http://schemas.openxmlformats.org/officeDocument/2006/relationships/hyperlink" Target="https://apexcharts.com/javascript-chart-demos/" TargetMode="External"/><Relationship Id="rId407" Type="http://schemas.openxmlformats.org/officeDocument/2006/relationships/hyperlink" Target="https://observablehq.github.io/plot/" TargetMode="External"/><Relationship Id="rId614" Type="http://schemas.openxmlformats.org/officeDocument/2006/relationships/hyperlink" Target="https://huggingface.co/docs/transformers.js" TargetMode="External"/><Relationship Id="rId821" Type="http://schemas.openxmlformats.org/officeDocument/2006/relationships/hyperlink" Target="https://github.com/taye/interact.js" TargetMode="External"/><Relationship Id="rId253" Type="http://schemas.openxmlformats.org/officeDocument/2006/relationships/hyperlink" Target="https://github.com/bradley/Blotter" TargetMode="External"/><Relationship Id="rId460" Type="http://schemas.openxmlformats.org/officeDocument/2006/relationships/hyperlink" Target="https://github.com/jacomyal/sigma.js" TargetMode="External"/><Relationship Id="rId698" Type="http://schemas.openxmlformats.org/officeDocument/2006/relationships/hyperlink" Target="https://github.com/fengyuanchen/cropperjs" TargetMode="External"/><Relationship Id="rId919" Type="http://schemas.openxmlformats.org/officeDocument/2006/relationships/hyperlink" Target="https://github.com/dexie/Dexie.js" TargetMode="External"/><Relationship Id="rId48" Type="http://schemas.openxmlformats.org/officeDocument/2006/relationships/hyperlink" Target="https://blobs.dev/" TargetMode="External"/><Relationship Id="rId113" Type="http://schemas.openxmlformats.org/officeDocument/2006/relationships/hyperlink" Target="https://github.com/guansss/pixi-live2d-display" TargetMode="External"/><Relationship Id="rId320" Type="http://schemas.openxmlformats.org/officeDocument/2006/relationships/hyperlink" Target="https://github.com/pmndrs/cannon-es" TargetMode="External"/><Relationship Id="rId558" Type="http://schemas.openxmlformats.org/officeDocument/2006/relationships/hyperlink" Target="https://l7.antv.antgroup.com/examples" TargetMode="External"/><Relationship Id="rId765" Type="http://schemas.openxmlformats.org/officeDocument/2006/relationships/hyperlink" Target="https://stuk.github.io/jszip/" TargetMode="External"/><Relationship Id="rId972" Type="http://schemas.openxmlformats.org/officeDocument/2006/relationships/hyperlink" Target="https://johnny-five.io/examples/" TargetMode="External"/><Relationship Id="rId197" Type="http://schemas.openxmlformats.org/officeDocument/2006/relationships/hyperlink" Target="https://scrollmagic.io/" TargetMode="External"/><Relationship Id="rId418" Type="http://schemas.openxmlformats.org/officeDocument/2006/relationships/hyperlink" Target="https://github.com/leeoniya/uPlot" TargetMode="External"/><Relationship Id="rId625" Type="http://schemas.openxmlformats.org/officeDocument/2006/relationships/hyperlink" Target="https://github.com/BrainJS/brain.js" TargetMode="External"/><Relationship Id="rId832" Type="http://schemas.openxmlformats.org/officeDocument/2006/relationships/hyperlink" Target="https://sweetalert2.github.io/" TargetMode="External"/><Relationship Id="rId264" Type="http://schemas.openxmlformats.org/officeDocument/2006/relationships/hyperlink" Target="https://roughnotation.com/" TargetMode="External"/><Relationship Id="rId471" Type="http://schemas.openxmlformats.org/officeDocument/2006/relationships/hyperlink" Target="https://vasturiano.github.io/3d-force-graph/" TargetMode="External"/><Relationship Id="rId59" Type="http://schemas.openxmlformats.org/officeDocument/2006/relationships/hyperlink" Target="https://github.com/BabylonJS/Babylon.js" TargetMode="External"/><Relationship Id="rId124" Type="http://schemas.openxmlformats.org/officeDocument/2006/relationships/hyperlink" Target="https://github.com/theatre-js/theatre" TargetMode="External"/><Relationship Id="rId569" Type="http://schemas.openxmlformats.org/officeDocument/2006/relationships/hyperlink" Target="https://wavesurfer.xyz/" TargetMode="External"/><Relationship Id="rId776" Type="http://schemas.openxmlformats.org/officeDocument/2006/relationships/hyperlink" Target="https://sli.dev/resources/showcases" TargetMode="External"/><Relationship Id="rId331" Type="http://schemas.openxmlformats.org/officeDocument/2006/relationships/hyperlink" Target="https://github.com/jrouwe/JoltPhysics.js" TargetMode="External"/><Relationship Id="rId429" Type="http://schemas.openxmlformats.org/officeDocument/2006/relationships/hyperlink" Target="https://inorganik.github.io/countUp.js/" TargetMode="External"/><Relationship Id="rId636" Type="http://schemas.openxmlformats.org/officeDocument/2006/relationships/hyperlink" Target="https://github.com/anthropics/anthropic-sdk-typescript/tree/main/examples" TargetMode="External"/><Relationship Id="rId843" Type="http://schemas.openxmlformats.org/officeDocument/2006/relationships/hyperlink" Target="https://split.js.org/" TargetMode="External"/><Relationship Id="rId275" Type="http://schemas.openxmlformats.org/officeDocument/2006/relationships/hyperlink" Target="https://drawcall.github.io/Proton/" TargetMode="External"/><Relationship Id="rId482" Type="http://schemas.openxmlformats.org/officeDocument/2006/relationships/hyperlink" Target="https://mind-elixir.com/" TargetMode="External"/><Relationship Id="rId703" Type="http://schemas.openxmlformats.org/officeDocument/2006/relationships/hyperlink" Target="https://scaleflex.github.io/filerobot-image-editor/" TargetMode="External"/><Relationship Id="rId910" Type="http://schemas.openxmlformats.org/officeDocument/2006/relationships/hyperlink" Target="https://github.com/yjs/yjs" TargetMode="External"/><Relationship Id="rId135" Type="http://schemas.openxmlformats.org/officeDocument/2006/relationships/hyperlink" Target="https://three-nebula.org/" TargetMode="External"/><Relationship Id="rId342" Type="http://schemas.openxmlformats.org/officeDocument/2006/relationships/hyperlink" Target="https://excaliburjs.com/samples/" TargetMode="External"/><Relationship Id="rId787" Type="http://schemas.openxmlformats.org/officeDocument/2006/relationships/hyperlink" Target="https://introjs.com/" TargetMode="External"/><Relationship Id="rId202" Type="http://schemas.openxmlformats.org/officeDocument/2006/relationships/hyperlink" Target="https://github.com/michalsnik/aos" TargetMode="External"/><Relationship Id="rId647" Type="http://schemas.openxmlformats.org/officeDocument/2006/relationships/hyperlink" Target="https://github.com/vladmandic/human" TargetMode="External"/><Relationship Id="rId854" Type="http://schemas.openxmlformats.org/officeDocument/2006/relationships/hyperlink" Target="https://github.com/lucide-icons/lucide" TargetMode="External"/><Relationship Id="rId286" Type="http://schemas.openxmlformats.org/officeDocument/2006/relationships/hyperlink" Target="https://github.com/qrohlf/trianglify" TargetMode="External"/><Relationship Id="rId493" Type="http://schemas.openxmlformats.org/officeDocument/2006/relationships/hyperlink" Target="https://github.com/jerosoler/Drawflow" TargetMode="External"/><Relationship Id="rId507" Type="http://schemas.openxmlformats.org/officeDocument/2006/relationships/hyperlink" Target="https://demo.bpmn.io/" TargetMode="External"/><Relationship Id="rId714" Type="http://schemas.openxmlformats.org/officeDocument/2006/relationships/hyperlink" Target="https://photoswipe.com/" TargetMode="External"/><Relationship Id="rId921" Type="http://schemas.openxmlformats.org/officeDocument/2006/relationships/hyperlink" Target="https://localforage.github.io/localForage/" TargetMode="External"/><Relationship Id="rId50" Type="http://schemas.openxmlformats.org/officeDocument/2006/relationships/hyperlink" Target="https://github.com/g-harel/blobs" TargetMode="External"/><Relationship Id="rId146" Type="http://schemas.openxmlformats.org/officeDocument/2006/relationships/hyperlink" Target="https://motion.dev/" TargetMode="External"/><Relationship Id="rId353" Type="http://schemas.openxmlformats.org/officeDocument/2006/relationships/hyperlink" Target="https://www.cocos.com/en/creator" TargetMode="External"/><Relationship Id="rId560" Type="http://schemas.openxmlformats.org/officeDocument/2006/relationships/hyperlink" Target="https://tonejs.github.io/" TargetMode="External"/><Relationship Id="rId798" Type="http://schemas.openxmlformats.org/officeDocument/2006/relationships/hyperlink" Target="https://github.com/jsxgraph/jsxgraph" TargetMode="External"/><Relationship Id="rId213" Type="http://schemas.openxmlformats.org/officeDocument/2006/relationships/hyperlink" Target="http://matthew.wagerfield.com/parallax/" TargetMode="External"/><Relationship Id="rId420" Type="http://schemas.openxmlformats.org/officeDocument/2006/relationships/hyperlink" Target="https://tradingview.github.io/lightweight-charts/tutorials" TargetMode="External"/><Relationship Id="rId658" Type="http://schemas.openxmlformats.org/officeDocument/2006/relationships/hyperlink" Target="https://github.com/AR-js-org/AR.js" TargetMode="External"/><Relationship Id="rId865" Type="http://schemas.openxmlformats.org/officeDocument/2006/relationships/hyperlink" Target="https://github.com/magicuidesign/magicui" TargetMode="External"/><Relationship Id="rId297" Type="http://schemas.openxmlformats.org/officeDocument/2006/relationships/hyperlink" Target="https://paveldogreat.github.io/WebGL-Fluid-Simulation/" TargetMode="External"/><Relationship Id="rId518" Type="http://schemas.openxmlformats.org/officeDocument/2006/relationships/hyperlink" Target="https://fullcalendar.io/" TargetMode="External"/><Relationship Id="rId725" Type="http://schemas.openxmlformats.org/officeDocument/2006/relationships/hyperlink" Target="https://github.com/metafizzy/isotope" TargetMode="External"/><Relationship Id="rId932" Type="http://schemas.openxmlformats.org/officeDocument/2006/relationships/hyperlink" Target="https://day.js.org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hreejs-journey.com/" TargetMode="External"/><Relationship Id="rId13" Type="http://schemas.openxmlformats.org/officeDocument/2006/relationships/hyperlink" Target="https://observablehq.com/" TargetMode="External"/><Relationship Id="rId18" Type="http://schemas.openxmlformats.org/officeDocument/2006/relationships/hyperlink" Target="https://polyhaven.com/" TargetMode="External"/><Relationship Id="rId3" Type="http://schemas.openxmlformats.org/officeDocument/2006/relationships/hyperlink" Target="https://thecodingtrain.com/" TargetMode="External"/><Relationship Id="rId7" Type="http://schemas.openxmlformats.org/officeDocument/2006/relationships/hyperlink" Target="https://glslsandbox.com/" TargetMode="External"/><Relationship Id="rId12" Type="http://schemas.openxmlformats.org/officeDocument/2006/relationships/hyperlink" Target="https://experiments.withgoogle.com/" TargetMode="External"/><Relationship Id="rId17" Type="http://schemas.openxmlformats.org/officeDocument/2006/relationships/hyperlink" Target="https://sketchfab.com/" TargetMode="External"/><Relationship Id="rId2" Type="http://schemas.openxmlformats.org/officeDocument/2006/relationships/hyperlink" Target="https://editor.p5js.org/" TargetMode="External"/><Relationship Id="rId16" Type="http://schemas.openxmlformats.org/officeDocument/2006/relationships/hyperlink" Target="https://huggingface.co/spaces" TargetMode="External"/><Relationship Id="rId20" Type="http://schemas.openxmlformats.org/officeDocument/2006/relationships/hyperlink" Target="https://lottiefiles.com/" TargetMode="External"/><Relationship Id="rId1" Type="http://schemas.openxmlformats.org/officeDocument/2006/relationships/hyperlink" Target="https://openprocessing.org/" TargetMode="External"/><Relationship Id="rId6" Type="http://schemas.openxmlformats.org/officeDocument/2006/relationships/hyperlink" Target="https://thebookofshaders.com/" TargetMode="External"/><Relationship Id="rId11" Type="http://schemas.openxmlformats.org/officeDocument/2006/relationships/hyperlink" Target="https://www.awwwards.com/" TargetMode="External"/><Relationship Id="rId5" Type="http://schemas.openxmlformats.org/officeDocument/2006/relationships/hyperlink" Target="https://www.shadertoy.com/" TargetMode="External"/><Relationship Id="rId15" Type="http://schemas.openxmlformats.org/officeDocument/2006/relationships/hyperlink" Target="https://playground.babylonjs.com/" TargetMode="External"/><Relationship Id="rId10" Type="http://schemas.openxmlformats.org/officeDocument/2006/relationships/hyperlink" Target="https://tympanus.net/codrops/" TargetMode="External"/><Relationship Id="rId19" Type="http://schemas.openxmlformats.org/officeDocument/2006/relationships/hyperlink" Target="https://www.mixamo.com/" TargetMode="External"/><Relationship Id="rId4" Type="http://schemas.openxmlformats.org/officeDocument/2006/relationships/hyperlink" Target="https://codepen.io/" TargetMode="External"/><Relationship Id="rId9" Type="http://schemas.openxmlformats.org/officeDocument/2006/relationships/hyperlink" Target="https://discourse.threejs.org/c/showcase/7" TargetMode="External"/><Relationship Id="rId14" Type="http://schemas.openxmlformats.org/officeDocument/2006/relationships/hyperlink" Target="https://www.dwitter.net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google.com/edge/mediapipe/solutions/vision/face_landmarker" TargetMode="External"/><Relationship Id="rId13" Type="http://schemas.openxmlformats.org/officeDocument/2006/relationships/hyperlink" Target="https://leafletjs.com/examples.html" TargetMode="External"/><Relationship Id="rId18" Type="http://schemas.openxmlformats.org/officeDocument/2006/relationships/hyperlink" Target="https://revealjs.com/demo/" TargetMode="External"/><Relationship Id="rId3" Type="http://schemas.openxmlformats.org/officeDocument/2006/relationships/hyperlink" Target="https://mediabunny.dev/" TargetMode="External"/><Relationship Id="rId21" Type="http://schemas.openxmlformats.org/officeDocument/2006/relationships/hyperlink" Target="https://www.kirilv.com/canvas-confetti/" TargetMode="External"/><Relationship Id="rId7" Type="http://schemas.openxmlformats.org/officeDocument/2006/relationships/hyperlink" Target="https://tonejs.github.io/examples/" TargetMode="External"/><Relationship Id="rId12" Type="http://schemas.openxmlformats.org/officeDocument/2006/relationships/hyperlink" Target="https://killedbyapixel.github.io/ZzFX/" TargetMode="External"/><Relationship Id="rId17" Type="http://schemas.openxmlformats.org/officeDocument/2006/relationships/hyperlink" Target="https://github.com/huggingface/transformers.js-examples" TargetMode="External"/><Relationship Id="rId2" Type="http://schemas.openxmlformats.org/officeDocument/2006/relationships/hyperlink" Target="https://p5js.org/examples/" TargetMode="External"/><Relationship Id="rId16" Type="http://schemas.openxmlformats.org/officeDocument/2006/relationships/hyperlink" Target="https://echarts.apache.org/examples/" TargetMode="External"/><Relationship Id="rId20" Type="http://schemas.openxmlformats.org/officeDocument/2006/relationships/hyperlink" Target="https://guansss.github.io/pixi-live2d-display/" TargetMode="External"/><Relationship Id="rId1" Type="http://schemas.openxmlformats.org/officeDocument/2006/relationships/hyperlink" Target="https://editor.p5js.org/ml5/sketches" TargetMode="External"/><Relationship Id="rId6" Type="http://schemas.openxmlformats.org/officeDocument/2006/relationships/hyperlink" Target="https://pmndrs.github.io/cannon-es/" TargetMode="External"/><Relationship Id="rId11" Type="http://schemas.openxmlformats.org/officeDocument/2006/relationships/hyperlink" Target="https://lenis.dev/" TargetMode="External"/><Relationship Id="rId5" Type="http://schemas.openxmlformats.org/officeDocument/2006/relationships/hyperlink" Target="https://gsap.com/scroll/" TargetMode="External"/><Relationship Id="rId15" Type="http://schemas.openxmlformats.org/officeDocument/2006/relationships/hyperlink" Target="https://russellsamora.github.io/scrollama/" TargetMode="External"/><Relationship Id="rId10" Type="http://schemas.openxmlformats.org/officeDocument/2006/relationships/hyperlink" Target="https://www.vantajs.com/" TargetMode="External"/><Relationship Id="rId19" Type="http://schemas.openxmlformats.org/officeDocument/2006/relationships/hyperlink" Target="https://fabricjs.com/demos/" TargetMode="External"/><Relationship Id="rId4" Type="http://schemas.openxmlformats.org/officeDocument/2006/relationships/hyperlink" Target="https://brm.io/matter-js/demo/" TargetMode="External"/><Relationship Id="rId9" Type="http://schemas.openxmlformats.org/officeDocument/2006/relationships/hyperlink" Target="https://hiukim.github.io/mind-ar-js-doc/examples/summary" TargetMode="External"/><Relationship Id="rId14" Type="http://schemas.openxmlformats.org/officeDocument/2006/relationships/hyperlink" Target="https://globe.gl/" TargetMode="External"/><Relationship Id="rId22" Type="http://schemas.openxmlformats.org/officeDocument/2006/relationships/hyperlink" Target="https://www.remotion.dev/showc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9"/>
  <sheetViews>
    <sheetView tabSelected="1" workbookViewId="0">
      <pane xSplit="3" ySplit="1" topLeftCell="D118" activePane="bottomRight" state="frozen"/>
      <selection pane="topRight"/>
      <selection pane="bottomLeft"/>
      <selection pane="bottomRight" activeCell="I9" sqref="I9"/>
    </sheetView>
  </sheetViews>
  <sheetFormatPr defaultRowHeight="15.75"/>
  <cols>
    <col min="1" max="1" width="6" customWidth="1"/>
    <col min="2" max="2" width="29.85546875" customWidth="1"/>
    <col min="3" max="3" width="22" customWidth="1"/>
    <col min="4" max="4" width="54" customWidth="1"/>
    <col min="5" max="5" width="37.140625" customWidth="1"/>
    <col min="6" max="6" width="7" customWidth="1"/>
    <col min="7" max="7" width="11.85546875" customWidth="1"/>
    <col min="8" max="8" width="16" customWidth="1"/>
    <col min="9" max="9" width="18" customWidth="1"/>
    <col min="10" max="10" width="11" customWidth="1"/>
    <col min="11" max="11" width="12" customWidth="1"/>
    <col min="12" max="14" width="36" customWidth="1"/>
    <col min="15" max="15" width="13" customWidth="1"/>
    <col min="16" max="16" width="34" customWidth="1"/>
  </cols>
  <sheetData>
    <row r="1" spans="1:1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3" t="s">
        <v>16</v>
      </c>
      <c r="C2" s="4" t="s">
        <v>17</v>
      </c>
      <c r="D2" s="3" t="s">
        <v>18</v>
      </c>
      <c r="E2" s="3" t="s">
        <v>19</v>
      </c>
      <c r="F2" s="2" t="s">
        <v>20</v>
      </c>
      <c r="G2" s="2" t="s">
        <v>21</v>
      </c>
      <c r="H2" s="3" t="s">
        <v>22</v>
      </c>
      <c r="I2" s="3" t="s">
        <v>2253</v>
      </c>
      <c r="J2" s="5">
        <v>24070</v>
      </c>
      <c r="K2" s="2" t="s">
        <v>23</v>
      </c>
      <c r="L2" s="6" t="s">
        <v>24</v>
      </c>
      <c r="M2" s="6" t="s">
        <v>25</v>
      </c>
      <c r="N2" s="6" t="s">
        <v>26</v>
      </c>
      <c r="O2" s="2" t="s">
        <v>27</v>
      </c>
      <c r="P2" s="3"/>
    </row>
    <row r="3" spans="1:16" ht="27">
      <c r="A3" s="2">
        <v>2</v>
      </c>
      <c r="B3" s="3" t="s">
        <v>16</v>
      </c>
      <c r="C3" s="4" t="s">
        <v>28</v>
      </c>
      <c r="D3" s="3" t="s">
        <v>29</v>
      </c>
      <c r="E3" s="3" t="s">
        <v>30</v>
      </c>
      <c r="F3" s="2" t="s">
        <v>20</v>
      </c>
      <c r="G3" s="2" t="s">
        <v>21</v>
      </c>
      <c r="H3" s="3" t="s">
        <v>22</v>
      </c>
      <c r="I3" s="3" t="s">
        <v>31</v>
      </c>
      <c r="J3" s="5">
        <v>422</v>
      </c>
      <c r="K3" s="2" t="s">
        <v>32</v>
      </c>
      <c r="L3" s="6" t="s">
        <v>33</v>
      </c>
      <c r="M3" s="6" t="s">
        <v>34</v>
      </c>
      <c r="N3" s="6" t="s">
        <v>35</v>
      </c>
      <c r="O3" s="2" t="s">
        <v>27</v>
      </c>
      <c r="P3" s="3"/>
    </row>
    <row r="4" spans="1:16" ht="27">
      <c r="A4" s="2">
        <v>3</v>
      </c>
      <c r="B4" s="3" t="s">
        <v>16</v>
      </c>
      <c r="C4" s="4" t="s">
        <v>36</v>
      </c>
      <c r="D4" s="3" t="s">
        <v>37</v>
      </c>
      <c r="E4" s="3" t="s">
        <v>38</v>
      </c>
      <c r="F4" s="2" t="s">
        <v>39</v>
      </c>
      <c r="G4" s="2" t="s">
        <v>21</v>
      </c>
      <c r="H4" s="3" t="s">
        <v>22</v>
      </c>
      <c r="I4" s="3" t="s">
        <v>40</v>
      </c>
      <c r="J4" s="5">
        <v>15079</v>
      </c>
      <c r="K4" s="2" t="s">
        <v>41</v>
      </c>
      <c r="L4" s="6" t="s">
        <v>42</v>
      </c>
      <c r="M4" s="6" t="s">
        <v>43</v>
      </c>
      <c r="N4" s="6" t="s">
        <v>44</v>
      </c>
      <c r="O4" s="2" t="s">
        <v>27</v>
      </c>
      <c r="P4" s="3"/>
    </row>
    <row r="5" spans="1:16" ht="27">
      <c r="A5" s="2">
        <v>4</v>
      </c>
      <c r="B5" s="3" t="s">
        <v>16</v>
      </c>
      <c r="C5" s="4" t="s">
        <v>45</v>
      </c>
      <c r="D5" s="3" t="s">
        <v>46</v>
      </c>
      <c r="E5" s="3" t="s">
        <v>47</v>
      </c>
      <c r="F5" s="2" t="s">
        <v>20</v>
      </c>
      <c r="G5" s="2" t="s">
        <v>21</v>
      </c>
      <c r="H5" s="3" t="s">
        <v>22</v>
      </c>
      <c r="I5" s="3" t="s">
        <v>40</v>
      </c>
      <c r="J5" s="5">
        <v>8662</v>
      </c>
      <c r="K5" s="2" t="s">
        <v>48</v>
      </c>
      <c r="L5" s="6" t="s">
        <v>49</v>
      </c>
      <c r="M5" s="6" t="s">
        <v>50</v>
      </c>
      <c r="N5" s="6" t="s">
        <v>51</v>
      </c>
      <c r="O5" s="2" t="s">
        <v>27</v>
      </c>
      <c r="P5" s="3"/>
    </row>
    <row r="6" spans="1:16" ht="27">
      <c r="A6" s="2">
        <v>5</v>
      </c>
      <c r="B6" s="3" t="s">
        <v>16</v>
      </c>
      <c r="C6" s="4" t="s">
        <v>52</v>
      </c>
      <c r="D6" s="3" t="s">
        <v>53</v>
      </c>
      <c r="E6" s="3" t="s">
        <v>54</v>
      </c>
      <c r="F6" s="2" t="s">
        <v>39</v>
      </c>
      <c r="G6" s="2" t="s">
        <v>21</v>
      </c>
      <c r="H6" s="3" t="s">
        <v>55</v>
      </c>
      <c r="I6" s="3" t="s">
        <v>40</v>
      </c>
      <c r="J6" s="5">
        <v>14839</v>
      </c>
      <c r="K6" s="2" t="s">
        <v>56</v>
      </c>
      <c r="L6" s="6" t="s">
        <v>57</v>
      </c>
      <c r="M6" s="6" t="s">
        <v>58</v>
      </c>
      <c r="N6" s="6" t="s">
        <v>59</v>
      </c>
      <c r="O6" s="2" t="s">
        <v>27</v>
      </c>
      <c r="P6" s="3"/>
    </row>
    <row r="7" spans="1:16" ht="27">
      <c r="A7" s="2">
        <v>6</v>
      </c>
      <c r="B7" s="3" t="s">
        <v>16</v>
      </c>
      <c r="C7" s="4" t="s">
        <v>60</v>
      </c>
      <c r="D7" s="3" t="s">
        <v>61</v>
      </c>
      <c r="E7" s="3" t="s">
        <v>62</v>
      </c>
      <c r="F7" s="2" t="s">
        <v>39</v>
      </c>
      <c r="G7" s="2" t="s">
        <v>21</v>
      </c>
      <c r="H7" s="3" t="s">
        <v>22</v>
      </c>
      <c r="I7" s="3" t="s">
        <v>40</v>
      </c>
      <c r="J7" s="5">
        <v>31465</v>
      </c>
      <c r="K7" s="2" t="s">
        <v>48</v>
      </c>
      <c r="L7" s="6" t="s">
        <v>63</v>
      </c>
      <c r="M7" s="6" t="s">
        <v>64</v>
      </c>
      <c r="N7" s="6" t="s">
        <v>65</v>
      </c>
      <c r="O7" s="2" t="s">
        <v>27</v>
      </c>
      <c r="P7" s="3"/>
    </row>
    <row r="8" spans="1:16" ht="27">
      <c r="A8" s="2">
        <v>7</v>
      </c>
      <c r="B8" s="3" t="s">
        <v>16</v>
      </c>
      <c r="C8" s="4" t="s">
        <v>66</v>
      </c>
      <c r="D8" s="3" t="s">
        <v>67</v>
      </c>
      <c r="E8" s="3" t="s">
        <v>68</v>
      </c>
      <c r="F8" s="2" t="s">
        <v>39</v>
      </c>
      <c r="G8" s="2" t="s">
        <v>21</v>
      </c>
      <c r="H8" s="3" t="s">
        <v>22</v>
      </c>
      <c r="I8" s="3" t="s">
        <v>40</v>
      </c>
      <c r="J8" s="5">
        <v>48246</v>
      </c>
      <c r="K8" s="2" t="s">
        <v>23</v>
      </c>
      <c r="L8" s="6" t="s">
        <v>69</v>
      </c>
      <c r="M8" s="6" t="s">
        <v>70</v>
      </c>
      <c r="N8" s="6" t="s">
        <v>71</v>
      </c>
      <c r="O8" s="2" t="s">
        <v>27</v>
      </c>
      <c r="P8" s="3"/>
    </row>
    <row r="9" spans="1:16" ht="27">
      <c r="A9" s="2">
        <v>8</v>
      </c>
      <c r="B9" s="3" t="s">
        <v>16</v>
      </c>
      <c r="C9" s="4" t="s">
        <v>72</v>
      </c>
      <c r="D9" s="3" t="s">
        <v>73</v>
      </c>
      <c r="E9" s="3" t="s">
        <v>74</v>
      </c>
      <c r="F9" s="2" t="s">
        <v>20</v>
      </c>
      <c r="G9" s="2" t="s">
        <v>21</v>
      </c>
      <c r="H9" s="3" t="s">
        <v>22</v>
      </c>
      <c r="I9" s="3" t="s">
        <v>40</v>
      </c>
      <c r="J9" s="5">
        <v>8159</v>
      </c>
      <c r="K9" s="2" t="s">
        <v>75</v>
      </c>
      <c r="L9" s="6" t="s">
        <v>76</v>
      </c>
      <c r="M9" s="6" t="s">
        <v>77</v>
      </c>
      <c r="N9" s="6" t="s">
        <v>78</v>
      </c>
      <c r="O9" s="2" t="s">
        <v>27</v>
      </c>
      <c r="P9" s="3"/>
    </row>
    <row r="10" spans="1:16" ht="27">
      <c r="A10" s="2">
        <v>9</v>
      </c>
      <c r="B10" s="3" t="s">
        <v>16</v>
      </c>
      <c r="C10" s="4" t="s">
        <v>79</v>
      </c>
      <c r="D10" s="3" t="s">
        <v>80</v>
      </c>
      <c r="E10" s="3" t="s">
        <v>81</v>
      </c>
      <c r="F10" s="2" t="s">
        <v>20</v>
      </c>
      <c r="G10" s="2" t="s">
        <v>21</v>
      </c>
      <c r="H10" s="3" t="s">
        <v>22</v>
      </c>
      <c r="I10" s="3" t="s">
        <v>40</v>
      </c>
      <c r="J10" s="5">
        <v>21218</v>
      </c>
      <c r="K10" s="2" t="s">
        <v>82</v>
      </c>
      <c r="L10" s="6" t="s">
        <v>83</v>
      </c>
      <c r="M10" s="6" t="s">
        <v>83</v>
      </c>
      <c r="N10" s="6" t="s">
        <v>84</v>
      </c>
      <c r="O10" s="2" t="s">
        <v>27</v>
      </c>
      <c r="P10" s="3"/>
    </row>
    <row r="11" spans="1:16" ht="27">
      <c r="A11" s="2">
        <v>10</v>
      </c>
      <c r="B11" s="3" t="s">
        <v>16</v>
      </c>
      <c r="C11" s="4" t="s">
        <v>85</v>
      </c>
      <c r="D11" s="3" t="s">
        <v>86</v>
      </c>
      <c r="E11" s="3" t="s">
        <v>87</v>
      </c>
      <c r="F11" s="2" t="s">
        <v>20</v>
      </c>
      <c r="G11" s="2" t="s">
        <v>21</v>
      </c>
      <c r="H11" s="3" t="s">
        <v>22</v>
      </c>
      <c r="I11" s="3" t="s">
        <v>40</v>
      </c>
      <c r="J11" s="5">
        <v>10663</v>
      </c>
      <c r="K11" s="2" t="s">
        <v>88</v>
      </c>
      <c r="L11" s="6" t="s">
        <v>89</v>
      </c>
      <c r="M11" s="6" t="s">
        <v>90</v>
      </c>
      <c r="N11" s="6" t="s">
        <v>91</v>
      </c>
      <c r="O11" s="2" t="s">
        <v>27</v>
      </c>
      <c r="P11" s="3"/>
    </row>
    <row r="12" spans="1:16" ht="27">
      <c r="A12" s="2">
        <v>11</v>
      </c>
      <c r="B12" s="3" t="s">
        <v>16</v>
      </c>
      <c r="C12" s="4" t="s">
        <v>92</v>
      </c>
      <c r="D12" s="3" t="s">
        <v>93</v>
      </c>
      <c r="E12" s="3" t="s">
        <v>94</v>
      </c>
      <c r="F12" s="2" t="s">
        <v>20</v>
      </c>
      <c r="G12" s="2" t="s">
        <v>21</v>
      </c>
      <c r="H12" s="3" t="s">
        <v>22</v>
      </c>
      <c r="I12" s="3" t="s">
        <v>40</v>
      </c>
      <c r="J12" s="5">
        <v>11826</v>
      </c>
      <c r="K12" s="2" t="s">
        <v>95</v>
      </c>
      <c r="L12" s="6" t="s">
        <v>96</v>
      </c>
      <c r="M12" s="6" t="s">
        <v>97</v>
      </c>
      <c r="N12" s="6" t="s">
        <v>98</v>
      </c>
      <c r="O12" s="2" t="s">
        <v>27</v>
      </c>
      <c r="P12" s="3"/>
    </row>
    <row r="13" spans="1:16" ht="27">
      <c r="A13" s="2">
        <v>12</v>
      </c>
      <c r="B13" s="3" t="s">
        <v>16</v>
      </c>
      <c r="C13" s="4" t="s">
        <v>99</v>
      </c>
      <c r="D13" s="3" t="s">
        <v>100</v>
      </c>
      <c r="E13" s="3" t="s">
        <v>101</v>
      </c>
      <c r="F13" s="2" t="s">
        <v>20</v>
      </c>
      <c r="G13" s="2" t="s">
        <v>21</v>
      </c>
      <c r="H13" s="3" t="s">
        <v>22</v>
      </c>
      <c r="I13" s="3" t="s">
        <v>102</v>
      </c>
      <c r="J13" s="5">
        <v>14005</v>
      </c>
      <c r="K13" s="2" t="s">
        <v>103</v>
      </c>
      <c r="L13" s="6" t="s">
        <v>104</v>
      </c>
      <c r="M13" s="6" t="s">
        <v>105</v>
      </c>
      <c r="N13" s="6" t="s">
        <v>106</v>
      </c>
      <c r="O13" s="2" t="s">
        <v>27</v>
      </c>
      <c r="P13" s="3"/>
    </row>
    <row r="14" spans="1:16" ht="27">
      <c r="A14" s="2">
        <v>13</v>
      </c>
      <c r="B14" s="3" t="s">
        <v>16</v>
      </c>
      <c r="C14" s="4" t="s">
        <v>107</v>
      </c>
      <c r="D14" s="3" t="s">
        <v>108</v>
      </c>
      <c r="E14" s="3" t="s">
        <v>109</v>
      </c>
      <c r="F14" s="2" t="s">
        <v>39</v>
      </c>
      <c r="G14" s="2" t="s">
        <v>110</v>
      </c>
      <c r="H14" s="3" t="s">
        <v>111</v>
      </c>
      <c r="I14" s="3" t="s">
        <v>40</v>
      </c>
      <c r="J14" s="5">
        <v>5287</v>
      </c>
      <c r="K14" s="2" t="s">
        <v>112</v>
      </c>
      <c r="L14" s="6" t="s">
        <v>113</v>
      </c>
      <c r="M14" s="6" t="s">
        <v>114</v>
      </c>
      <c r="N14" s="6" t="s">
        <v>113</v>
      </c>
      <c r="O14" s="2" t="s">
        <v>27</v>
      </c>
      <c r="P14" s="3"/>
    </row>
    <row r="15" spans="1:16" ht="27">
      <c r="A15" s="2">
        <v>14</v>
      </c>
      <c r="B15" s="3" t="s">
        <v>16</v>
      </c>
      <c r="C15" s="4" t="s">
        <v>115</v>
      </c>
      <c r="D15" s="3" t="s">
        <v>116</v>
      </c>
      <c r="E15" s="3" t="s">
        <v>117</v>
      </c>
      <c r="F15" s="2" t="s">
        <v>39</v>
      </c>
      <c r="G15" s="2" t="s">
        <v>21</v>
      </c>
      <c r="H15" s="3" t="s">
        <v>22</v>
      </c>
      <c r="I15" s="3" t="s">
        <v>118</v>
      </c>
      <c r="J15" s="5">
        <v>2718</v>
      </c>
      <c r="K15" s="2" t="s">
        <v>119</v>
      </c>
      <c r="L15" s="6" t="s">
        <v>120</v>
      </c>
      <c r="M15" s="6" t="s">
        <v>121</v>
      </c>
      <c r="N15" s="6" t="s">
        <v>122</v>
      </c>
      <c r="O15" s="2" t="s">
        <v>27</v>
      </c>
      <c r="P15" s="3"/>
    </row>
    <row r="16" spans="1:16" ht="27">
      <c r="A16" s="2">
        <v>15</v>
      </c>
      <c r="B16" s="3" t="s">
        <v>16</v>
      </c>
      <c r="C16" s="4" t="s">
        <v>123</v>
      </c>
      <c r="D16" s="3" t="s">
        <v>124</v>
      </c>
      <c r="E16" s="3" t="s">
        <v>125</v>
      </c>
      <c r="F16" s="2" t="s">
        <v>20</v>
      </c>
      <c r="G16" s="2" t="s">
        <v>21</v>
      </c>
      <c r="H16" s="3" t="s">
        <v>22</v>
      </c>
      <c r="I16" s="3" t="s">
        <v>126</v>
      </c>
      <c r="J16" s="5">
        <v>10591</v>
      </c>
      <c r="K16" s="2" t="s">
        <v>127</v>
      </c>
      <c r="L16" s="6" t="s">
        <v>128</v>
      </c>
      <c r="M16" s="6" t="s">
        <v>129</v>
      </c>
      <c r="N16" s="6" t="s">
        <v>130</v>
      </c>
      <c r="O16" s="2" t="s">
        <v>27</v>
      </c>
      <c r="P16" s="3"/>
    </row>
    <row r="17" spans="1:16" ht="27">
      <c r="A17" s="2">
        <v>16</v>
      </c>
      <c r="B17" s="3" t="s">
        <v>16</v>
      </c>
      <c r="C17" s="4" t="s">
        <v>131</v>
      </c>
      <c r="D17" s="3" t="s">
        <v>132</v>
      </c>
      <c r="E17" s="3" t="s">
        <v>133</v>
      </c>
      <c r="F17" s="2" t="s">
        <v>39</v>
      </c>
      <c r="G17" s="2" t="s">
        <v>21</v>
      </c>
      <c r="H17" s="3" t="s">
        <v>22</v>
      </c>
      <c r="I17" s="3" t="s">
        <v>40</v>
      </c>
      <c r="J17" s="5">
        <v>1849</v>
      </c>
      <c r="K17" s="2" t="s">
        <v>134</v>
      </c>
      <c r="L17" s="6" t="s">
        <v>135</v>
      </c>
      <c r="M17" s="3" t="s">
        <v>136</v>
      </c>
      <c r="N17" s="6" t="s">
        <v>135</v>
      </c>
      <c r="O17" s="2" t="s">
        <v>27</v>
      </c>
      <c r="P17" s="3"/>
    </row>
    <row r="18" spans="1:16" ht="27">
      <c r="A18" s="2">
        <v>17</v>
      </c>
      <c r="B18" s="3" t="s">
        <v>16</v>
      </c>
      <c r="C18" s="4" t="s">
        <v>137</v>
      </c>
      <c r="D18" s="3" t="s">
        <v>138</v>
      </c>
      <c r="E18" s="3" t="s">
        <v>139</v>
      </c>
      <c r="F18" s="2" t="s">
        <v>20</v>
      </c>
      <c r="G18" s="2" t="s">
        <v>21</v>
      </c>
      <c r="H18" s="3" t="s">
        <v>22</v>
      </c>
      <c r="I18" s="3" t="s">
        <v>40</v>
      </c>
      <c r="J18" s="5">
        <v>157</v>
      </c>
      <c r="K18" s="2" t="s">
        <v>140</v>
      </c>
      <c r="L18" s="6" t="s">
        <v>141</v>
      </c>
      <c r="M18" s="6" t="s">
        <v>141</v>
      </c>
      <c r="N18" s="6" t="s">
        <v>142</v>
      </c>
      <c r="O18" s="2" t="s">
        <v>27</v>
      </c>
      <c r="P18" s="3"/>
    </row>
    <row r="19" spans="1:16" ht="27">
      <c r="A19" s="2">
        <v>18</v>
      </c>
      <c r="B19" s="3" t="s">
        <v>16</v>
      </c>
      <c r="C19" s="4" t="s">
        <v>143</v>
      </c>
      <c r="D19" s="3" t="s">
        <v>144</v>
      </c>
      <c r="E19" s="3" t="s">
        <v>145</v>
      </c>
      <c r="F19" s="2" t="s">
        <v>39</v>
      </c>
      <c r="G19" s="2" t="s">
        <v>21</v>
      </c>
      <c r="H19" s="3" t="s">
        <v>22</v>
      </c>
      <c r="I19" s="3" t="s">
        <v>40</v>
      </c>
      <c r="J19" s="5">
        <v>6936</v>
      </c>
      <c r="K19" s="2" t="s">
        <v>146</v>
      </c>
      <c r="L19" s="6" t="s">
        <v>147</v>
      </c>
      <c r="M19" s="6" t="s">
        <v>148</v>
      </c>
      <c r="N19" s="6" t="s">
        <v>147</v>
      </c>
      <c r="O19" s="2" t="s">
        <v>27</v>
      </c>
      <c r="P19" s="3"/>
    </row>
    <row r="20" spans="1:16" ht="27">
      <c r="A20" s="7">
        <v>19</v>
      </c>
      <c r="B20" s="8" t="s">
        <v>149</v>
      </c>
      <c r="C20" s="9" t="s">
        <v>150</v>
      </c>
      <c r="D20" s="8" t="s">
        <v>151</v>
      </c>
      <c r="E20" s="8" t="s">
        <v>152</v>
      </c>
      <c r="F20" s="7" t="s">
        <v>39</v>
      </c>
      <c r="G20" s="7" t="s">
        <v>21</v>
      </c>
      <c r="H20" s="8" t="s">
        <v>22</v>
      </c>
      <c r="I20" s="8" t="s">
        <v>40</v>
      </c>
      <c r="J20" s="10">
        <v>116092</v>
      </c>
      <c r="K20" s="7" t="s">
        <v>23</v>
      </c>
      <c r="L20" s="11" t="s">
        <v>153</v>
      </c>
      <c r="M20" s="11" t="s">
        <v>154</v>
      </c>
      <c r="N20" s="11" t="s">
        <v>155</v>
      </c>
      <c r="O20" s="7" t="s">
        <v>27</v>
      </c>
      <c r="P20" s="8"/>
    </row>
    <row r="21" spans="1:16" ht="27">
      <c r="A21" s="7">
        <v>20</v>
      </c>
      <c r="B21" s="8" t="s">
        <v>149</v>
      </c>
      <c r="C21" s="9" t="s">
        <v>156</v>
      </c>
      <c r="D21" s="8" t="s">
        <v>157</v>
      </c>
      <c r="E21" s="8" t="s">
        <v>158</v>
      </c>
      <c r="F21" s="7" t="s">
        <v>39</v>
      </c>
      <c r="G21" s="7" t="s">
        <v>21</v>
      </c>
      <c r="H21" s="8" t="s">
        <v>22</v>
      </c>
      <c r="I21" s="8" t="s">
        <v>102</v>
      </c>
      <c r="J21" s="10">
        <v>26125</v>
      </c>
      <c r="K21" s="7" t="s">
        <v>23</v>
      </c>
      <c r="L21" s="11" t="s">
        <v>159</v>
      </c>
      <c r="M21" s="11" t="s">
        <v>160</v>
      </c>
      <c r="N21" s="11" t="s">
        <v>161</v>
      </c>
      <c r="O21" s="7" t="s">
        <v>27</v>
      </c>
      <c r="P21" s="8"/>
    </row>
    <row r="22" spans="1:16" ht="27">
      <c r="A22" s="7">
        <v>21</v>
      </c>
      <c r="B22" s="8" t="s">
        <v>149</v>
      </c>
      <c r="C22" s="9" t="s">
        <v>162</v>
      </c>
      <c r="D22" s="8" t="s">
        <v>163</v>
      </c>
      <c r="E22" s="8" t="s">
        <v>164</v>
      </c>
      <c r="F22" s="7" t="s">
        <v>39</v>
      </c>
      <c r="G22" s="7" t="s">
        <v>110</v>
      </c>
      <c r="H22" s="8" t="s">
        <v>165</v>
      </c>
      <c r="I22" s="8" t="s">
        <v>40</v>
      </c>
      <c r="J22" s="10">
        <v>16956</v>
      </c>
      <c r="K22" s="7" t="s">
        <v>23</v>
      </c>
      <c r="L22" s="11" t="s">
        <v>166</v>
      </c>
      <c r="M22" s="11" t="s">
        <v>167</v>
      </c>
      <c r="N22" s="11" t="s">
        <v>168</v>
      </c>
      <c r="O22" s="7" t="s">
        <v>27</v>
      </c>
      <c r="P22" s="8"/>
    </row>
    <row r="23" spans="1:16" ht="27">
      <c r="A23" s="7">
        <v>22</v>
      </c>
      <c r="B23" s="8" t="s">
        <v>149</v>
      </c>
      <c r="C23" s="9" t="s">
        <v>169</v>
      </c>
      <c r="D23" s="8" t="s">
        <v>170</v>
      </c>
      <c r="E23" s="8" t="s">
        <v>171</v>
      </c>
      <c r="F23" s="7" t="s">
        <v>20</v>
      </c>
      <c r="G23" s="7" t="s">
        <v>21</v>
      </c>
      <c r="H23" s="8" t="s">
        <v>172</v>
      </c>
      <c r="I23" s="8" t="s">
        <v>40</v>
      </c>
      <c r="J23" s="10">
        <v>17646</v>
      </c>
      <c r="K23" s="7" t="s">
        <v>173</v>
      </c>
      <c r="L23" s="11" t="s">
        <v>174</v>
      </c>
      <c r="M23" s="11" t="s">
        <v>175</v>
      </c>
      <c r="N23" s="11" t="s">
        <v>176</v>
      </c>
      <c r="O23" s="7" t="s">
        <v>27</v>
      </c>
      <c r="P23" s="8"/>
    </row>
    <row r="24" spans="1:16" ht="27">
      <c r="A24" s="7">
        <v>23</v>
      </c>
      <c r="B24" s="8" t="s">
        <v>149</v>
      </c>
      <c r="C24" s="9" t="s">
        <v>177</v>
      </c>
      <c r="D24" s="8" t="s">
        <v>178</v>
      </c>
      <c r="E24" s="8" t="s">
        <v>179</v>
      </c>
      <c r="F24" s="7" t="s">
        <v>39</v>
      </c>
      <c r="G24" s="7" t="s">
        <v>110</v>
      </c>
      <c r="H24" s="8" t="s">
        <v>180</v>
      </c>
      <c r="I24" s="8" t="s">
        <v>40</v>
      </c>
      <c r="J24" s="10">
        <v>32631</v>
      </c>
      <c r="K24" s="7" t="s">
        <v>23</v>
      </c>
      <c r="L24" s="11" t="s">
        <v>181</v>
      </c>
      <c r="M24" s="11" t="s">
        <v>182</v>
      </c>
      <c r="N24" s="11" t="s">
        <v>183</v>
      </c>
      <c r="O24" s="7" t="s">
        <v>27</v>
      </c>
      <c r="P24" s="8"/>
    </row>
    <row r="25" spans="1:16" ht="27">
      <c r="A25" s="7">
        <v>24</v>
      </c>
      <c r="B25" s="8" t="s">
        <v>149</v>
      </c>
      <c r="C25" s="9" t="s">
        <v>184</v>
      </c>
      <c r="D25" s="8" t="s">
        <v>185</v>
      </c>
      <c r="E25" s="8" t="s">
        <v>186</v>
      </c>
      <c r="F25" s="7" t="s">
        <v>39</v>
      </c>
      <c r="G25" s="7" t="s">
        <v>110</v>
      </c>
      <c r="H25" s="8" t="s">
        <v>180</v>
      </c>
      <c r="I25" s="8" t="s">
        <v>40</v>
      </c>
      <c r="J25" s="10">
        <v>9906</v>
      </c>
      <c r="K25" s="7" t="s">
        <v>23</v>
      </c>
      <c r="L25" s="11" t="s">
        <v>187</v>
      </c>
      <c r="M25" s="11" t="s">
        <v>187</v>
      </c>
      <c r="N25" s="11" t="s">
        <v>188</v>
      </c>
      <c r="O25" s="7" t="s">
        <v>27</v>
      </c>
      <c r="P25" s="8"/>
    </row>
    <row r="26" spans="1:16" ht="27">
      <c r="A26" s="7">
        <v>25</v>
      </c>
      <c r="B26" s="8" t="s">
        <v>149</v>
      </c>
      <c r="C26" s="9" t="s">
        <v>189</v>
      </c>
      <c r="D26" s="8" t="s">
        <v>190</v>
      </c>
      <c r="E26" s="8" t="s">
        <v>191</v>
      </c>
      <c r="F26" s="7" t="s">
        <v>39</v>
      </c>
      <c r="G26" s="7" t="s">
        <v>110</v>
      </c>
      <c r="H26" s="8" t="s">
        <v>192</v>
      </c>
      <c r="I26" s="8" t="s">
        <v>40</v>
      </c>
      <c r="J26" s="10">
        <v>3340</v>
      </c>
      <c r="K26" s="7" t="s">
        <v>193</v>
      </c>
      <c r="L26" s="11" t="s">
        <v>194</v>
      </c>
      <c r="M26" s="11" t="s">
        <v>194</v>
      </c>
      <c r="N26" s="11" t="s">
        <v>195</v>
      </c>
      <c r="O26" s="7" t="s">
        <v>27</v>
      </c>
      <c r="P26" s="8"/>
    </row>
    <row r="27" spans="1:16" ht="27">
      <c r="A27" s="7">
        <v>26</v>
      </c>
      <c r="B27" s="8" t="s">
        <v>149</v>
      </c>
      <c r="C27" s="9" t="s">
        <v>196</v>
      </c>
      <c r="D27" s="8" t="s">
        <v>197</v>
      </c>
      <c r="E27" s="8" t="s">
        <v>198</v>
      </c>
      <c r="F27" s="7" t="s">
        <v>39</v>
      </c>
      <c r="G27" s="7" t="s">
        <v>110</v>
      </c>
      <c r="H27" s="8" t="s">
        <v>199</v>
      </c>
      <c r="I27" s="8" t="s">
        <v>40</v>
      </c>
      <c r="J27" s="10">
        <v>3746</v>
      </c>
      <c r="K27" s="7" t="s">
        <v>23</v>
      </c>
      <c r="L27" s="11" t="s">
        <v>200</v>
      </c>
      <c r="M27" s="11" t="s">
        <v>201</v>
      </c>
      <c r="N27" s="11" t="s">
        <v>202</v>
      </c>
      <c r="O27" s="7" t="s">
        <v>27</v>
      </c>
      <c r="P27" s="8"/>
    </row>
    <row r="28" spans="1:16" ht="27">
      <c r="A28" s="7">
        <v>27</v>
      </c>
      <c r="B28" s="8" t="s">
        <v>149</v>
      </c>
      <c r="C28" s="9" t="s">
        <v>203</v>
      </c>
      <c r="D28" s="8" t="s">
        <v>204</v>
      </c>
      <c r="E28" s="8" t="s">
        <v>205</v>
      </c>
      <c r="F28" s="7" t="s">
        <v>206</v>
      </c>
      <c r="G28" s="7" t="s">
        <v>21</v>
      </c>
      <c r="H28" s="8" t="s">
        <v>22</v>
      </c>
      <c r="I28" s="8" t="s">
        <v>207</v>
      </c>
      <c r="J28" s="10">
        <v>4662</v>
      </c>
      <c r="K28" s="7" t="s">
        <v>208</v>
      </c>
      <c r="L28" s="11" t="s">
        <v>209</v>
      </c>
      <c r="M28" s="11" t="s">
        <v>210</v>
      </c>
      <c r="N28" s="11" t="s">
        <v>211</v>
      </c>
      <c r="O28" s="7" t="s">
        <v>27</v>
      </c>
      <c r="P28" s="8"/>
    </row>
    <row r="29" spans="1:16" ht="27">
      <c r="A29" s="7">
        <v>28</v>
      </c>
      <c r="B29" s="8" t="s">
        <v>149</v>
      </c>
      <c r="C29" s="9" t="s">
        <v>212</v>
      </c>
      <c r="D29" s="8" t="s">
        <v>213</v>
      </c>
      <c r="E29" s="8" t="s">
        <v>214</v>
      </c>
      <c r="F29" s="7" t="s">
        <v>206</v>
      </c>
      <c r="G29" s="7" t="s">
        <v>21</v>
      </c>
      <c r="H29" s="8" t="s">
        <v>22</v>
      </c>
      <c r="I29" s="8" t="s">
        <v>40</v>
      </c>
      <c r="J29" s="10">
        <v>5585</v>
      </c>
      <c r="K29" s="7" t="s">
        <v>215</v>
      </c>
      <c r="L29" s="11" t="s">
        <v>216</v>
      </c>
      <c r="M29" s="11" t="s">
        <v>217</v>
      </c>
      <c r="N29" s="11" t="s">
        <v>216</v>
      </c>
      <c r="O29" s="7" t="s">
        <v>27</v>
      </c>
      <c r="P29" s="8"/>
    </row>
    <row r="30" spans="1:16" ht="27">
      <c r="A30" s="7">
        <v>29</v>
      </c>
      <c r="B30" s="8" t="s">
        <v>149</v>
      </c>
      <c r="C30" s="9" t="s">
        <v>218</v>
      </c>
      <c r="D30" s="8" t="s">
        <v>219</v>
      </c>
      <c r="E30" s="8" t="s">
        <v>220</v>
      </c>
      <c r="F30" s="7" t="s">
        <v>206</v>
      </c>
      <c r="G30" s="7" t="s">
        <v>21</v>
      </c>
      <c r="H30" s="8" t="s">
        <v>22</v>
      </c>
      <c r="I30" s="8" t="s">
        <v>40</v>
      </c>
      <c r="J30" s="10">
        <v>3006</v>
      </c>
      <c r="K30" s="7" t="s">
        <v>221</v>
      </c>
      <c r="L30" s="11" t="s">
        <v>222</v>
      </c>
      <c r="M30" s="11" t="s">
        <v>222</v>
      </c>
      <c r="N30" s="11" t="s">
        <v>223</v>
      </c>
      <c r="O30" s="7" t="s">
        <v>27</v>
      </c>
      <c r="P30" s="8"/>
    </row>
    <row r="31" spans="1:16" ht="27">
      <c r="A31" s="7">
        <v>30</v>
      </c>
      <c r="B31" s="8" t="s">
        <v>149</v>
      </c>
      <c r="C31" s="9" t="s">
        <v>224</v>
      </c>
      <c r="D31" s="8" t="s">
        <v>225</v>
      </c>
      <c r="E31" s="8" t="s">
        <v>226</v>
      </c>
      <c r="F31" s="7" t="s">
        <v>206</v>
      </c>
      <c r="G31" s="7" t="s">
        <v>110</v>
      </c>
      <c r="H31" s="8" t="s">
        <v>22</v>
      </c>
      <c r="I31" s="8" t="s">
        <v>40</v>
      </c>
      <c r="J31" s="10">
        <v>2483</v>
      </c>
      <c r="K31" s="7" t="s">
        <v>23</v>
      </c>
      <c r="L31" s="11" t="s">
        <v>227</v>
      </c>
      <c r="M31" s="11" t="s">
        <v>228</v>
      </c>
      <c r="N31" s="11" t="s">
        <v>229</v>
      </c>
      <c r="O31" s="7" t="s">
        <v>27</v>
      </c>
      <c r="P31" s="8"/>
    </row>
    <row r="32" spans="1:16" ht="27">
      <c r="A32" s="7">
        <v>31</v>
      </c>
      <c r="B32" s="8" t="s">
        <v>149</v>
      </c>
      <c r="C32" s="9" t="s">
        <v>230</v>
      </c>
      <c r="D32" s="8" t="s">
        <v>231</v>
      </c>
      <c r="E32" s="8" t="s">
        <v>232</v>
      </c>
      <c r="F32" s="7" t="s">
        <v>20</v>
      </c>
      <c r="G32" s="7" t="s">
        <v>21</v>
      </c>
      <c r="H32" s="8" t="s">
        <v>233</v>
      </c>
      <c r="I32" s="8" t="s">
        <v>102</v>
      </c>
      <c r="J32" s="10">
        <v>8260</v>
      </c>
      <c r="K32" s="7" t="s">
        <v>48</v>
      </c>
      <c r="L32" s="11" t="s">
        <v>234</v>
      </c>
      <c r="M32" s="11" t="s">
        <v>235</v>
      </c>
      <c r="N32" s="11" t="s">
        <v>236</v>
      </c>
      <c r="O32" s="7" t="s">
        <v>27</v>
      </c>
      <c r="P32" s="8"/>
    </row>
    <row r="33" spans="1:16" ht="27">
      <c r="A33" s="7">
        <v>32</v>
      </c>
      <c r="B33" s="8" t="s">
        <v>149</v>
      </c>
      <c r="C33" s="9" t="s">
        <v>237</v>
      </c>
      <c r="D33" s="8" t="s">
        <v>238</v>
      </c>
      <c r="E33" s="8" t="s">
        <v>239</v>
      </c>
      <c r="F33" s="7" t="s">
        <v>20</v>
      </c>
      <c r="G33" s="7" t="s">
        <v>110</v>
      </c>
      <c r="H33" s="8" t="s">
        <v>240</v>
      </c>
      <c r="I33" s="8" t="s">
        <v>40</v>
      </c>
      <c r="J33" s="10">
        <v>1421</v>
      </c>
      <c r="K33" s="7" t="s">
        <v>241</v>
      </c>
      <c r="L33" s="11" t="s">
        <v>242</v>
      </c>
      <c r="M33" s="11" t="s">
        <v>243</v>
      </c>
      <c r="N33" s="11" t="s">
        <v>244</v>
      </c>
      <c r="O33" s="7" t="s">
        <v>27</v>
      </c>
      <c r="P33" s="8"/>
    </row>
    <row r="34" spans="1:16" ht="27">
      <c r="A34" s="7">
        <v>33</v>
      </c>
      <c r="B34" s="8" t="s">
        <v>149</v>
      </c>
      <c r="C34" s="9" t="s">
        <v>245</v>
      </c>
      <c r="D34" s="8" t="s">
        <v>246</v>
      </c>
      <c r="E34" s="8" t="s">
        <v>247</v>
      </c>
      <c r="F34" s="7" t="s">
        <v>39</v>
      </c>
      <c r="G34" s="7" t="s">
        <v>248</v>
      </c>
      <c r="H34" s="8" t="s">
        <v>165</v>
      </c>
      <c r="I34" s="8" t="s">
        <v>249</v>
      </c>
      <c r="J34" s="10"/>
      <c r="K34" s="7"/>
      <c r="L34" s="11" t="s">
        <v>250</v>
      </c>
      <c r="M34" s="11" t="s">
        <v>251</v>
      </c>
      <c r="N34" s="8"/>
      <c r="O34" s="7" t="s">
        <v>27</v>
      </c>
      <c r="P34" s="8"/>
    </row>
    <row r="35" spans="1:16" ht="27">
      <c r="A35" s="7">
        <v>34</v>
      </c>
      <c r="B35" s="8" t="s">
        <v>149</v>
      </c>
      <c r="C35" s="9" t="s">
        <v>252</v>
      </c>
      <c r="D35" s="8" t="s">
        <v>253</v>
      </c>
      <c r="E35" s="8" t="s">
        <v>254</v>
      </c>
      <c r="F35" s="7" t="s">
        <v>39</v>
      </c>
      <c r="G35" s="7" t="s">
        <v>21</v>
      </c>
      <c r="H35" s="8" t="s">
        <v>22</v>
      </c>
      <c r="I35" s="8" t="s">
        <v>40</v>
      </c>
      <c r="J35" s="10">
        <v>824</v>
      </c>
      <c r="K35" s="7" t="s">
        <v>255</v>
      </c>
      <c r="L35" s="11" t="s">
        <v>256</v>
      </c>
      <c r="M35" s="11" t="s">
        <v>257</v>
      </c>
      <c r="N35" s="11" t="s">
        <v>258</v>
      </c>
      <c r="O35" s="7" t="s">
        <v>27</v>
      </c>
      <c r="P35" s="8"/>
    </row>
    <row r="36" spans="1:16" ht="27">
      <c r="A36" s="7">
        <v>35</v>
      </c>
      <c r="B36" s="8" t="s">
        <v>149</v>
      </c>
      <c r="C36" s="9" t="s">
        <v>259</v>
      </c>
      <c r="D36" s="8" t="s">
        <v>260</v>
      </c>
      <c r="E36" s="8" t="s">
        <v>261</v>
      </c>
      <c r="F36" s="7" t="s">
        <v>39</v>
      </c>
      <c r="G36" s="7" t="s">
        <v>21</v>
      </c>
      <c r="H36" s="8" t="s">
        <v>22</v>
      </c>
      <c r="I36" s="8" t="s">
        <v>40</v>
      </c>
      <c r="J36" s="10">
        <v>2276</v>
      </c>
      <c r="K36" s="7" t="s">
        <v>262</v>
      </c>
      <c r="L36" s="11" t="s">
        <v>263</v>
      </c>
      <c r="M36" s="11" t="s">
        <v>264</v>
      </c>
      <c r="N36" s="11" t="s">
        <v>263</v>
      </c>
      <c r="O36" s="7" t="s">
        <v>27</v>
      </c>
      <c r="P36" s="8"/>
    </row>
    <row r="37" spans="1:16" ht="27">
      <c r="A37" s="7">
        <v>36</v>
      </c>
      <c r="B37" s="8" t="s">
        <v>149</v>
      </c>
      <c r="C37" s="9" t="s">
        <v>265</v>
      </c>
      <c r="D37" s="8" t="s">
        <v>266</v>
      </c>
      <c r="E37" s="8" t="s">
        <v>267</v>
      </c>
      <c r="F37" s="7" t="s">
        <v>39</v>
      </c>
      <c r="G37" s="7" t="s">
        <v>21</v>
      </c>
      <c r="H37" s="8" t="s">
        <v>22</v>
      </c>
      <c r="I37" s="8" t="s">
        <v>40</v>
      </c>
      <c r="J37" s="10">
        <v>1827</v>
      </c>
      <c r="K37" s="7" t="s">
        <v>268</v>
      </c>
      <c r="L37" s="11" t="s">
        <v>269</v>
      </c>
      <c r="M37" s="11" t="s">
        <v>270</v>
      </c>
      <c r="N37" s="11" t="s">
        <v>271</v>
      </c>
      <c r="O37" s="7" t="s">
        <v>27</v>
      </c>
      <c r="P37" s="8"/>
    </row>
    <row r="38" spans="1:16" ht="27">
      <c r="A38" s="7">
        <v>37</v>
      </c>
      <c r="B38" s="8" t="s">
        <v>149</v>
      </c>
      <c r="C38" s="9" t="s">
        <v>272</v>
      </c>
      <c r="D38" s="8" t="s">
        <v>273</v>
      </c>
      <c r="E38" s="8" t="s">
        <v>274</v>
      </c>
      <c r="F38" s="7" t="s">
        <v>206</v>
      </c>
      <c r="G38" s="7" t="s">
        <v>21</v>
      </c>
      <c r="H38" s="8" t="s">
        <v>22</v>
      </c>
      <c r="I38" s="8" t="s">
        <v>40</v>
      </c>
      <c r="J38" s="10">
        <v>15479</v>
      </c>
      <c r="K38" s="7" t="s">
        <v>48</v>
      </c>
      <c r="L38" s="11" t="s">
        <v>275</v>
      </c>
      <c r="M38" s="11" t="s">
        <v>275</v>
      </c>
      <c r="N38" s="11" t="s">
        <v>276</v>
      </c>
      <c r="O38" s="7" t="s">
        <v>27</v>
      </c>
      <c r="P38" s="8"/>
    </row>
    <row r="39" spans="1:16" ht="40.5">
      <c r="A39" s="7">
        <v>38</v>
      </c>
      <c r="B39" s="8" t="s">
        <v>149</v>
      </c>
      <c r="C39" s="9" t="s">
        <v>277</v>
      </c>
      <c r="D39" s="8" t="s">
        <v>278</v>
      </c>
      <c r="E39" s="8" t="s">
        <v>279</v>
      </c>
      <c r="F39" s="7" t="s">
        <v>39</v>
      </c>
      <c r="G39" s="7" t="s">
        <v>21</v>
      </c>
      <c r="H39" s="8" t="s">
        <v>22</v>
      </c>
      <c r="I39" s="8" t="s">
        <v>40</v>
      </c>
      <c r="J39" s="10">
        <v>2192</v>
      </c>
      <c r="K39" s="7" t="s">
        <v>23</v>
      </c>
      <c r="L39" s="11" t="s">
        <v>280</v>
      </c>
      <c r="M39" s="11" t="s">
        <v>281</v>
      </c>
      <c r="N39" s="11" t="s">
        <v>280</v>
      </c>
      <c r="O39" s="7" t="s">
        <v>27</v>
      </c>
      <c r="P39" s="8"/>
    </row>
    <row r="40" spans="1:16" ht="27">
      <c r="A40" s="7">
        <v>39</v>
      </c>
      <c r="B40" s="8" t="s">
        <v>149</v>
      </c>
      <c r="C40" s="9" t="s">
        <v>282</v>
      </c>
      <c r="D40" s="8" t="s">
        <v>283</v>
      </c>
      <c r="E40" s="8" t="s">
        <v>284</v>
      </c>
      <c r="F40" s="7" t="s">
        <v>39</v>
      </c>
      <c r="G40" s="7" t="s">
        <v>110</v>
      </c>
      <c r="H40" s="8" t="s">
        <v>22</v>
      </c>
      <c r="I40" s="8" t="s">
        <v>40</v>
      </c>
      <c r="J40" s="10">
        <v>1503</v>
      </c>
      <c r="K40" s="7" t="s">
        <v>285</v>
      </c>
      <c r="L40" s="11" t="s">
        <v>286</v>
      </c>
      <c r="M40" s="11" t="s">
        <v>287</v>
      </c>
      <c r="N40" s="11" t="s">
        <v>286</v>
      </c>
      <c r="O40" s="7" t="s">
        <v>27</v>
      </c>
      <c r="P40" s="8"/>
    </row>
    <row r="41" spans="1:16" ht="27">
      <c r="A41" s="7">
        <v>40</v>
      </c>
      <c r="B41" s="8" t="s">
        <v>149</v>
      </c>
      <c r="C41" s="9" t="s">
        <v>288</v>
      </c>
      <c r="D41" s="8" t="s">
        <v>289</v>
      </c>
      <c r="E41" s="8" t="s">
        <v>290</v>
      </c>
      <c r="F41" s="7" t="s">
        <v>39</v>
      </c>
      <c r="G41" s="7" t="s">
        <v>110</v>
      </c>
      <c r="H41" s="8" t="s">
        <v>22</v>
      </c>
      <c r="I41" s="8" t="s">
        <v>102</v>
      </c>
      <c r="J41" s="10">
        <v>15787</v>
      </c>
      <c r="K41" s="7" t="s">
        <v>23</v>
      </c>
      <c r="L41" s="11" t="s">
        <v>291</v>
      </c>
      <c r="M41" s="11" t="s">
        <v>292</v>
      </c>
      <c r="N41" s="11" t="s">
        <v>293</v>
      </c>
      <c r="O41" s="7" t="s">
        <v>27</v>
      </c>
      <c r="P41" s="8"/>
    </row>
    <row r="42" spans="1:16" ht="27">
      <c r="A42" s="2">
        <v>41</v>
      </c>
      <c r="B42" s="3" t="s">
        <v>294</v>
      </c>
      <c r="C42" s="4" t="s">
        <v>295</v>
      </c>
      <c r="D42" s="3" t="s">
        <v>296</v>
      </c>
      <c r="E42" s="3" t="s">
        <v>297</v>
      </c>
      <c r="F42" s="2" t="s">
        <v>39</v>
      </c>
      <c r="G42" s="2" t="s">
        <v>21</v>
      </c>
      <c r="H42" s="3" t="s">
        <v>22</v>
      </c>
      <c r="I42" s="3" t="s">
        <v>298</v>
      </c>
      <c r="J42" s="5">
        <v>2871</v>
      </c>
      <c r="K42" s="2" t="s">
        <v>32</v>
      </c>
      <c r="L42" s="6" t="s">
        <v>299</v>
      </c>
      <c r="M42" s="6" t="s">
        <v>300</v>
      </c>
      <c r="N42" s="6" t="s">
        <v>299</v>
      </c>
      <c r="O42" s="2" t="s">
        <v>27</v>
      </c>
      <c r="P42" s="3"/>
    </row>
    <row r="43" spans="1:16" ht="27">
      <c r="A43" s="2">
        <v>42</v>
      </c>
      <c r="B43" s="3" t="s">
        <v>294</v>
      </c>
      <c r="C43" s="4" t="s">
        <v>301</v>
      </c>
      <c r="D43" s="3" t="s">
        <v>302</v>
      </c>
      <c r="E43" s="3" t="s">
        <v>303</v>
      </c>
      <c r="F43" s="2" t="s">
        <v>39</v>
      </c>
      <c r="G43" s="2" t="s">
        <v>110</v>
      </c>
      <c r="H43" s="3" t="s">
        <v>240</v>
      </c>
      <c r="I43" s="3" t="s">
        <v>102</v>
      </c>
      <c r="J43" s="5">
        <v>12715</v>
      </c>
      <c r="K43" s="2" t="s">
        <v>304</v>
      </c>
      <c r="L43" s="6" t="s">
        <v>305</v>
      </c>
      <c r="M43" s="6" t="s">
        <v>306</v>
      </c>
      <c r="N43" s="6" t="s">
        <v>307</v>
      </c>
      <c r="O43" s="2" t="s">
        <v>27</v>
      </c>
      <c r="P43" s="3"/>
    </row>
    <row r="44" spans="1:16">
      <c r="A44" s="2">
        <v>43</v>
      </c>
      <c r="B44" s="3" t="s">
        <v>294</v>
      </c>
      <c r="C44" s="4" t="s">
        <v>308</v>
      </c>
      <c r="D44" s="3" t="s">
        <v>309</v>
      </c>
      <c r="E44" s="3" t="s">
        <v>310</v>
      </c>
      <c r="F44" s="2" t="s">
        <v>20</v>
      </c>
      <c r="G44" s="2" t="s">
        <v>21</v>
      </c>
      <c r="H44" s="3" t="s">
        <v>22</v>
      </c>
      <c r="I44" s="3" t="s">
        <v>40</v>
      </c>
      <c r="J44" s="5">
        <v>1642</v>
      </c>
      <c r="K44" s="2" t="s">
        <v>311</v>
      </c>
      <c r="L44" s="6" t="s">
        <v>312</v>
      </c>
      <c r="M44" s="6" t="s">
        <v>312</v>
      </c>
      <c r="N44" s="6" t="s">
        <v>313</v>
      </c>
      <c r="O44" s="2" t="s">
        <v>27</v>
      </c>
      <c r="P44" s="3"/>
    </row>
    <row r="45" spans="1:16">
      <c r="A45" s="2">
        <v>44</v>
      </c>
      <c r="B45" s="3" t="s">
        <v>294</v>
      </c>
      <c r="C45" s="4" t="s">
        <v>314</v>
      </c>
      <c r="D45" s="3" t="s">
        <v>315</v>
      </c>
      <c r="E45" s="3" t="s">
        <v>316</v>
      </c>
      <c r="F45" s="2" t="s">
        <v>20</v>
      </c>
      <c r="G45" s="2" t="s">
        <v>21</v>
      </c>
      <c r="H45" s="3" t="s">
        <v>22</v>
      </c>
      <c r="I45" s="3" t="s">
        <v>40</v>
      </c>
      <c r="J45" s="5">
        <v>4599</v>
      </c>
      <c r="K45" s="2" t="s">
        <v>317</v>
      </c>
      <c r="L45" s="6" t="s">
        <v>318</v>
      </c>
      <c r="M45" s="6" t="s">
        <v>318</v>
      </c>
      <c r="N45" s="6" t="s">
        <v>319</v>
      </c>
      <c r="O45" s="2" t="s">
        <v>27</v>
      </c>
      <c r="P45" s="3"/>
    </row>
    <row r="46" spans="1:16" ht="27">
      <c r="A46" s="2">
        <v>45</v>
      </c>
      <c r="B46" s="3" t="s">
        <v>294</v>
      </c>
      <c r="C46" s="4" t="s">
        <v>320</v>
      </c>
      <c r="D46" s="3" t="s">
        <v>321</v>
      </c>
      <c r="E46" s="3" t="s">
        <v>322</v>
      </c>
      <c r="F46" s="2" t="s">
        <v>39</v>
      </c>
      <c r="G46" s="2" t="s">
        <v>21</v>
      </c>
      <c r="H46" s="3" t="s">
        <v>22</v>
      </c>
      <c r="I46" s="3" t="s">
        <v>40</v>
      </c>
      <c r="J46" s="5">
        <v>1975</v>
      </c>
      <c r="K46" s="2" t="s">
        <v>323</v>
      </c>
      <c r="L46" s="6" t="s">
        <v>324</v>
      </c>
      <c r="M46" s="6" t="s">
        <v>324</v>
      </c>
      <c r="N46" s="6" t="s">
        <v>325</v>
      </c>
      <c r="O46" s="2" t="s">
        <v>27</v>
      </c>
      <c r="P46" s="3"/>
    </row>
    <row r="47" spans="1:16" ht="27">
      <c r="A47" s="2">
        <v>46</v>
      </c>
      <c r="B47" s="3" t="s">
        <v>294</v>
      </c>
      <c r="C47" s="4" t="s">
        <v>326</v>
      </c>
      <c r="D47" s="3" t="s">
        <v>327</v>
      </c>
      <c r="E47" s="3" t="s">
        <v>328</v>
      </c>
      <c r="F47" s="2" t="s">
        <v>39</v>
      </c>
      <c r="G47" s="2" t="s">
        <v>110</v>
      </c>
      <c r="H47" s="3" t="s">
        <v>22</v>
      </c>
      <c r="I47" s="3" t="s">
        <v>40</v>
      </c>
      <c r="J47" s="5">
        <v>1228</v>
      </c>
      <c r="K47" s="2" t="s">
        <v>23</v>
      </c>
      <c r="L47" s="6" t="s">
        <v>329</v>
      </c>
      <c r="M47" s="6" t="s">
        <v>329</v>
      </c>
      <c r="N47" s="6" t="s">
        <v>330</v>
      </c>
      <c r="O47" s="2" t="s">
        <v>27</v>
      </c>
      <c r="P47" s="3"/>
    </row>
    <row r="48" spans="1:16">
      <c r="A48" s="2">
        <v>47</v>
      </c>
      <c r="B48" s="3" t="s">
        <v>294</v>
      </c>
      <c r="C48" s="4" t="s">
        <v>331</v>
      </c>
      <c r="D48" s="3" t="s">
        <v>332</v>
      </c>
      <c r="E48" s="3" t="s">
        <v>333</v>
      </c>
      <c r="F48" s="2" t="s">
        <v>20</v>
      </c>
      <c r="G48" s="2" t="s">
        <v>21</v>
      </c>
      <c r="H48" s="3" t="s">
        <v>22</v>
      </c>
      <c r="I48" s="3" t="s">
        <v>40</v>
      </c>
      <c r="J48" s="5">
        <v>9152</v>
      </c>
      <c r="K48" s="2" t="s">
        <v>334</v>
      </c>
      <c r="L48" s="6" t="s">
        <v>335</v>
      </c>
      <c r="M48" s="6" t="s">
        <v>336</v>
      </c>
      <c r="N48" s="6" t="s">
        <v>335</v>
      </c>
      <c r="O48" s="2" t="s">
        <v>27</v>
      </c>
      <c r="P48" s="3"/>
    </row>
    <row r="49" spans="1:16" ht="40.5">
      <c r="A49" s="7">
        <v>48</v>
      </c>
      <c r="B49" s="8" t="s">
        <v>337</v>
      </c>
      <c r="C49" s="9" t="s">
        <v>338</v>
      </c>
      <c r="D49" s="8" t="s">
        <v>339</v>
      </c>
      <c r="E49" s="8" t="s">
        <v>340</v>
      </c>
      <c r="F49" s="7" t="s">
        <v>20</v>
      </c>
      <c r="G49" s="7" t="s">
        <v>21</v>
      </c>
      <c r="H49" s="8" t="s">
        <v>240</v>
      </c>
      <c r="I49" s="8" t="s">
        <v>341</v>
      </c>
      <c r="J49" s="10">
        <v>28739</v>
      </c>
      <c r="K49" s="7" t="s">
        <v>342</v>
      </c>
      <c r="L49" s="11" t="s">
        <v>343</v>
      </c>
      <c r="M49" s="11" t="s">
        <v>344</v>
      </c>
      <c r="N49" s="11" t="s">
        <v>345</v>
      </c>
      <c r="O49" s="7" t="s">
        <v>27</v>
      </c>
      <c r="P49" s="8"/>
    </row>
    <row r="50" spans="1:16" ht="27">
      <c r="A50" s="7">
        <v>49</v>
      </c>
      <c r="B50" s="8" t="s">
        <v>337</v>
      </c>
      <c r="C50" s="9" t="s">
        <v>346</v>
      </c>
      <c r="D50" s="8" t="s">
        <v>347</v>
      </c>
      <c r="E50" s="8" t="s">
        <v>348</v>
      </c>
      <c r="F50" s="7" t="s">
        <v>20</v>
      </c>
      <c r="G50" s="7" t="s">
        <v>21</v>
      </c>
      <c r="H50" s="8" t="s">
        <v>22</v>
      </c>
      <c r="I50" s="8" t="s">
        <v>40</v>
      </c>
      <c r="J50" s="10">
        <v>73211</v>
      </c>
      <c r="K50" s="7" t="s">
        <v>349</v>
      </c>
      <c r="L50" s="11" t="s">
        <v>350</v>
      </c>
      <c r="M50" s="11" t="s">
        <v>351</v>
      </c>
      <c r="N50" s="11" t="s">
        <v>352</v>
      </c>
      <c r="O50" s="7" t="s">
        <v>27</v>
      </c>
      <c r="P50" s="8"/>
    </row>
    <row r="51" spans="1:16" ht="27">
      <c r="A51" s="7">
        <v>50</v>
      </c>
      <c r="B51" s="8" t="s">
        <v>337</v>
      </c>
      <c r="C51" s="9" t="s">
        <v>353</v>
      </c>
      <c r="D51" s="8" t="s">
        <v>354</v>
      </c>
      <c r="E51" s="8" t="s">
        <v>355</v>
      </c>
      <c r="F51" s="7" t="s">
        <v>20</v>
      </c>
      <c r="G51" s="7" t="s">
        <v>21</v>
      </c>
      <c r="H51" s="8" t="s">
        <v>55</v>
      </c>
      <c r="I51" s="8" t="s">
        <v>40</v>
      </c>
      <c r="J51" s="10">
        <v>33778</v>
      </c>
      <c r="K51" s="7" t="s">
        <v>23</v>
      </c>
      <c r="L51" s="11" t="s">
        <v>356</v>
      </c>
      <c r="M51" s="11" t="s">
        <v>357</v>
      </c>
      <c r="N51" s="11" t="s">
        <v>358</v>
      </c>
      <c r="O51" s="7" t="s">
        <v>27</v>
      </c>
      <c r="P51" s="8"/>
    </row>
    <row r="52" spans="1:16">
      <c r="A52" s="7">
        <v>51</v>
      </c>
      <c r="B52" s="8" t="s">
        <v>337</v>
      </c>
      <c r="C52" s="9" t="s">
        <v>359</v>
      </c>
      <c r="D52" s="8" t="s">
        <v>360</v>
      </c>
      <c r="E52" s="8" t="s">
        <v>361</v>
      </c>
      <c r="F52" s="7" t="s">
        <v>39</v>
      </c>
      <c r="G52" s="7" t="s">
        <v>110</v>
      </c>
      <c r="H52" s="8" t="s">
        <v>180</v>
      </c>
      <c r="I52" s="8" t="s">
        <v>40</v>
      </c>
      <c r="J52" s="10">
        <v>29163</v>
      </c>
      <c r="K52" s="7" t="s">
        <v>23</v>
      </c>
      <c r="L52" s="11" t="s">
        <v>362</v>
      </c>
      <c r="M52" s="11" t="s">
        <v>363</v>
      </c>
      <c r="N52" s="11" t="s">
        <v>364</v>
      </c>
      <c r="O52" s="7" t="s">
        <v>27</v>
      </c>
      <c r="P52" s="8"/>
    </row>
    <row r="53" spans="1:16" ht="27">
      <c r="A53" s="7">
        <v>52</v>
      </c>
      <c r="B53" s="8" t="s">
        <v>337</v>
      </c>
      <c r="C53" s="9" t="s">
        <v>365</v>
      </c>
      <c r="D53" s="8" t="s">
        <v>366</v>
      </c>
      <c r="E53" s="8" t="s">
        <v>367</v>
      </c>
      <c r="F53" s="7" t="s">
        <v>39</v>
      </c>
      <c r="G53" s="7" t="s">
        <v>21</v>
      </c>
      <c r="H53" s="8" t="s">
        <v>22</v>
      </c>
      <c r="I53" s="8" t="s">
        <v>40</v>
      </c>
      <c r="J53" s="10">
        <v>18791</v>
      </c>
      <c r="K53" s="7" t="s">
        <v>368</v>
      </c>
      <c r="L53" s="11" t="s">
        <v>369</v>
      </c>
      <c r="M53" s="11" t="s">
        <v>370</v>
      </c>
      <c r="N53" s="11" t="s">
        <v>371</v>
      </c>
      <c r="O53" s="7" t="s">
        <v>27</v>
      </c>
      <c r="P53" s="8"/>
    </row>
    <row r="54" spans="1:16" ht="27">
      <c r="A54" s="7">
        <v>53</v>
      </c>
      <c r="B54" s="8" t="s">
        <v>337</v>
      </c>
      <c r="C54" s="9" t="s">
        <v>372</v>
      </c>
      <c r="D54" s="8" t="s">
        <v>373</v>
      </c>
      <c r="E54" s="8" t="s">
        <v>374</v>
      </c>
      <c r="F54" s="7" t="s">
        <v>20</v>
      </c>
      <c r="G54" s="7" t="s">
        <v>21</v>
      </c>
      <c r="H54" s="8" t="s">
        <v>22</v>
      </c>
      <c r="I54" s="8" t="s">
        <v>40</v>
      </c>
      <c r="J54" s="10">
        <v>32134</v>
      </c>
      <c r="K54" s="7" t="s">
        <v>375</v>
      </c>
      <c r="L54" s="11" t="s">
        <v>376</v>
      </c>
      <c r="M54" s="11" t="s">
        <v>377</v>
      </c>
      <c r="N54" s="11" t="s">
        <v>378</v>
      </c>
      <c r="O54" s="7" t="s">
        <v>379</v>
      </c>
      <c r="P54" s="8"/>
    </row>
    <row r="55" spans="1:16" ht="27">
      <c r="A55" s="7">
        <v>54</v>
      </c>
      <c r="B55" s="8" t="s">
        <v>337</v>
      </c>
      <c r="C55" s="9" t="s">
        <v>380</v>
      </c>
      <c r="D55" s="8" t="s">
        <v>381</v>
      </c>
      <c r="E55" s="8" t="s">
        <v>382</v>
      </c>
      <c r="F55" s="7" t="s">
        <v>20</v>
      </c>
      <c r="G55" s="7" t="s">
        <v>21</v>
      </c>
      <c r="H55" s="8" t="s">
        <v>240</v>
      </c>
      <c r="I55" s="8" t="s">
        <v>40</v>
      </c>
      <c r="J55" s="10">
        <v>890</v>
      </c>
      <c r="K55" s="7" t="s">
        <v>383</v>
      </c>
      <c r="L55" s="11" t="s">
        <v>384</v>
      </c>
      <c r="M55" s="11" t="s">
        <v>377</v>
      </c>
      <c r="N55" s="11" t="s">
        <v>385</v>
      </c>
      <c r="O55" s="7" t="s">
        <v>379</v>
      </c>
      <c r="P55" s="8"/>
    </row>
    <row r="56" spans="1:16">
      <c r="A56" s="7">
        <v>55</v>
      </c>
      <c r="B56" s="8" t="s">
        <v>337</v>
      </c>
      <c r="C56" s="9" t="s">
        <v>386</v>
      </c>
      <c r="D56" s="8" t="s">
        <v>387</v>
      </c>
      <c r="E56" s="8" t="s">
        <v>388</v>
      </c>
      <c r="F56" s="7" t="s">
        <v>39</v>
      </c>
      <c r="G56" s="7" t="s">
        <v>110</v>
      </c>
      <c r="H56" s="8" t="s">
        <v>240</v>
      </c>
      <c r="I56" s="8" t="s">
        <v>40</v>
      </c>
      <c r="J56" s="10">
        <v>970</v>
      </c>
      <c r="K56" s="7" t="s">
        <v>23</v>
      </c>
      <c r="L56" s="11" t="s">
        <v>389</v>
      </c>
      <c r="M56" s="11" t="s">
        <v>390</v>
      </c>
      <c r="N56" s="11" t="s">
        <v>391</v>
      </c>
      <c r="O56" s="7" t="s">
        <v>27</v>
      </c>
      <c r="P56" s="8"/>
    </row>
    <row r="57" spans="1:16">
      <c r="A57" s="7">
        <v>56</v>
      </c>
      <c r="B57" s="8" t="s">
        <v>337</v>
      </c>
      <c r="C57" s="9" t="s">
        <v>392</v>
      </c>
      <c r="D57" s="8" t="s">
        <v>393</v>
      </c>
      <c r="E57" s="8" t="s">
        <v>394</v>
      </c>
      <c r="F57" s="7" t="s">
        <v>20</v>
      </c>
      <c r="G57" s="7" t="s">
        <v>21</v>
      </c>
      <c r="H57" s="8" t="s">
        <v>22</v>
      </c>
      <c r="I57" s="8" t="s">
        <v>40</v>
      </c>
      <c r="J57" s="10">
        <v>10147</v>
      </c>
      <c r="K57" s="7" t="s">
        <v>395</v>
      </c>
      <c r="L57" s="11" t="s">
        <v>396</v>
      </c>
      <c r="M57" s="11" t="s">
        <v>397</v>
      </c>
      <c r="N57" s="11" t="s">
        <v>396</v>
      </c>
      <c r="O57" s="7" t="s">
        <v>27</v>
      </c>
      <c r="P57" s="8"/>
    </row>
    <row r="58" spans="1:16" ht="27">
      <c r="A58" s="7">
        <v>57</v>
      </c>
      <c r="B58" s="8" t="s">
        <v>337</v>
      </c>
      <c r="C58" s="9" t="s">
        <v>398</v>
      </c>
      <c r="D58" s="8" t="s">
        <v>399</v>
      </c>
      <c r="E58" s="8" t="s">
        <v>400</v>
      </c>
      <c r="F58" s="7" t="s">
        <v>20</v>
      </c>
      <c r="G58" s="7" t="s">
        <v>21</v>
      </c>
      <c r="H58" s="8" t="s">
        <v>55</v>
      </c>
      <c r="I58" s="8" t="s">
        <v>40</v>
      </c>
      <c r="J58" s="10">
        <v>13925</v>
      </c>
      <c r="K58" s="7" t="s">
        <v>401</v>
      </c>
      <c r="L58" s="11" t="s">
        <v>402</v>
      </c>
      <c r="M58" s="11" t="s">
        <v>402</v>
      </c>
      <c r="N58" s="11" t="s">
        <v>403</v>
      </c>
      <c r="O58" s="7" t="s">
        <v>27</v>
      </c>
      <c r="P58" s="8"/>
    </row>
    <row r="59" spans="1:16" ht="27">
      <c r="A59" s="7">
        <v>58</v>
      </c>
      <c r="B59" s="8" t="s">
        <v>337</v>
      </c>
      <c r="C59" s="9" t="s">
        <v>404</v>
      </c>
      <c r="D59" s="8" t="s">
        <v>405</v>
      </c>
      <c r="E59" s="8" t="s">
        <v>406</v>
      </c>
      <c r="F59" s="7" t="s">
        <v>20</v>
      </c>
      <c r="G59" s="7" t="s">
        <v>21</v>
      </c>
      <c r="H59" s="8" t="s">
        <v>407</v>
      </c>
      <c r="I59" s="8" t="s">
        <v>408</v>
      </c>
      <c r="J59" s="10">
        <v>82842</v>
      </c>
      <c r="K59" s="7" t="s">
        <v>409</v>
      </c>
      <c r="L59" s="11" t="s">
        <v>410</v>
      </c>
      <c r="M59" s="11" t="s">
        <v>410</v>
      </c>
      <c r="N59" s="11" t="s">
        <v>411</v>
      </c>
      <c r="O59" s="7" t="s">
        <v>27</v>
      </c>
      <c r="P59" s="8" t="s">
        <v>412</v>
      </c>
    </row>
    <row r="60" spans="1:16" ht="27">
      <c r="A60" s="7">
        <v>59</v>
      </c>
      <c r="B60" s="8" t="s">
        <v>337</v>
      </c>
      <c r="C60" s="9" t="s">
        <v>413</v>
      </c>
      <c r="D60" s="8" t="s">
        <v>414</v>
      </c>
      <c r="E60" s="8" t="s">
        <v>415</v>
      </c>
      <c r="F60" s="7" t="s">
        <v>39</v>
      </c>
      <c r="G60" s="7" t="s">
        <v>21</v>
      </c>
      <c r="H60" s="8" t="s">
        <v>22</v>
      </c>
      <c r="I60" s="8" t="s">
        <v>40</v>
      </c>
      <c r="J60" s="10">
        <v>12987</v>
      </c>
      <c r="K60" s="7" t="s">
        <v>416</v>
      </c>
      <c r="L60" s="11" t="s">
        <v>417</v>
      </c>
      <c r="M60" s="11" t="s">
        <v>418</v>
      </c>
      <c r="N60" s="11" t="s">
        <v>419</v>
      </c>
      <c r="O60" s="7" t="s">
        <v>27</v>
      </c>
      <c r="P60" s="8"/>
    </row>
    <row r="61" spans="1:16" ht="27">
      <c r="A61" s="7">
        <v>60</v>
      </c>
      <c r="B61" s="8" t="s">
        <v>337</v>
      </c>
      <c r="C61" s="9" t="s">
        <v>420</v>
      </c>
      <c r="D61" s="8" t="s">
        <v>421</v>
      </c>
      <c r="E61" s="8" t="s">
        <v>422</v>
      </c>
      <c r="F61" s="7" t="s">
        <v>39</v>
      </c>
      <c r="G61" s="7" t="s">
        <v>21</v>
      </c>
      <c r="H61" s="8" t="s">
        <v>22</v>
      </c>
      <c r="I61" s="8" t="s">
        <v>40</v>
      </c>
      <c r="J61" s="10">
        <v>5233</v>
      </c>
      <c r="K61" s="7" t="s">
        <v>48</v>
      </c>
      <c r="L61" s="11" t="s">
        <v>423</v>
      </c>
      <c r="M61" s="11" t="s">
        <v>424</v>
      </c>
      <c r="N61" s="11" t="s">
        <v>425</v>
      </c>
      <c r="O61" s="7" t="s">
        <v>27</v>
      </c>
      <c r="P61" s="8"/>
    </row>
    <row r="62" spans="1:16">
      <c r="A62" s="7">
        <v>61</v>
      </c>
      <c r="B62" s="8" t="s">
        <v>337</v>
      </c>
      <c r="C62" s="9" t="s">
        <v>426</v>
      </c>
      <c r="D62" s="8" t="s">
        <v>427</v>
      </c>
      <c r="E62" s="8" t="s">
        <v>428</v>
      </c>
      <c r="F62" s="7" t="s">
        <v>39</v>
      </c>
      <c r="G62" s="7" t="s">
        <v>21</v>
      </c>
      <c r="H62" s="8" t="s">
        <v>22</v>
      </c>
      <c r="I62" s="8" t="s">
        <v>40</v>
      </c>
      <c r="J62" s="10">
        <v>2643</v>
      </c>
      <c r="K62" s="7" t="s">
        <v>429</v>
      </c>
      <c r="L62" s="11" t="s">
        <v>430</v>
      </c>
      <c r="M62" s="11" t="s">
        <v>430</v>
      </c>
      <c r="N62" s="11" t="s">
        <v>431</v>
      </c>
      <c r="O62" s="7" t="s">
        <v>27</v>
      </c>
      <c r="P62" s="8"/>
    </row>
    <row r="63" spans="1:16">
      <c r="A63" s="7">
        <v>62</v>
      </c>
      <c r="B63" s="8" t="s">
        <v>337</v>
      </c>
      <c r="C63" s="9" t="s">
        <v>432</v>
      </c>
      <c r="D63" s="8" t="s">
        <v>433</v>
      </c>
      <c r="E63" s="8" t="s">
        <v>434</v>
      </c>
      <c r="F63" s="7" t="s">
        <v>39</v>
      </c>
      <c r="G63" s="7" t="s">
        <v>21</v>
      </c>
      <c r="H63" s="8" t="s">
        <v>22</v>
      </c>
      <c r="I63" s="8" t="s">
        <v>40</v>
      </c>
      <c r="J63" s="10">
        <v>2771</v>
      </c>
      <c r="K63" s="7" t="s">
        <v>435</v>
      </c>
      <c r="L63" s="11" t="s">
        <v>436</v>
      </c>
      <c r="M63" s="11" t="s">
        <v>436</v>
      </c>
      <c r="N63" s="11" t="s">
        <v>437</v>
      </c>
      <c r="O63" s="7" t="s">
        <v>27</v>
      </c>
      <c r="P63" s="8"/>
    </row>
    <row r="64" spans="1:16">
      <c r="A64" s="7">
        <v>63</v>
      </c>
      <c r="B64" s="8" t="s">
        <v>337</v>
      </c>
      <c r="C64" s="9" t="s">
        <v>438</v>
      </c>
      <c r="D64" s="8" t="s">
        <v>439</v>
      </c>
      <c r="E64" s="8" t="s">
        <v>440</v>
      </c>
      <c r="F64" s="7" t="s">
        <v>20</v>
      </c>
      <c r="G64" s="7" t="s">
        <v>21</v>
      </c>
      <c r="H64" s="8" t="s">
        <v>22</v>
      </c>
      <c r="I64" s="8" t="s">
        <v>40</v>
      </c>
      <c r="J64" s="10">
        <v>15485</v>
      </c>
      <c r="K64" s="7" t="s">
        <v>441</v>
      </c>
      <c r="L64" s="11" t="s">
        <v>442</v>
      </c>
      <c r="M64" s="11" t="s">
        <v>442</v>
      </c>
      <c r="N64" s="11" t="s">
        <v>443</v>
      </c>
      <c r="O64" s="7" t="s">
        <v>27</v>
      </c>
      <c r="P64" s="8"/>
    </row>
    <row r="65" spans="1:16" ht="27">
      <c r="A65" s="2">
        <v>64</v>
      </c>
      <c r="B65" s="3" t="s">
        <v>444</v>
      </c>
      <c r="C65" s="4" t="s">
        <v>445</v>
      </c>
      <c r="D65" s="3" t="s">
        <v>446</v>
      </c>
      <c r="E65" s="3" t="s">
        <v>447</v>
      </c>
      <c r="F65" s="2" t="s">
        <v>39</v>
      </c>
      <c r="G65" s="2" t="s">
        <v>21</v>
      </c>
      <c r="H65" s="3" t="s">
        <v>22</v>
      </c>
      <c r="I65" s="3" t="s">
        <v>341</v>
      </c>
      <c r="J65" s="5">
        <v>28739</v>
      </c>
      <c r="K65" s="2" t="s">
        <v>342</v>
      </c>
      <c r="L65" s="6" t="s">
        <v>448</v>
      </c>
      <c r="M65" s="6" t="s">
        <v>449</v>
      </c>
      <c r="N65" s="6" t="s">
        <v>345</v>
      </c>
      <c r="O65" s="2" t="s">
        <v>27</v>
      </c>
      <c r="P65" s="3"/>
    </row>
    <row r="66" spans="1:16" ht="27">
      <c r="A66" s="2">
        <v>65</v>
      </c>
      <c r="B66" s="3" t="s">
        <v>444</v>
      </c>
      <c r="C66" s="4" t="s">
        <v>450</v>
      </c>
      <c r="D66" s="3" t="s">
        <v>451</v>
      </c>
      <c r="E66" s="3" t="s">
        <v>452</v>
      </c>
      <c r="F66" s="2" t="s">
        <v>20</v>
      </c>
      <c r="G66" s="2" t="s">
        <v>21</v>
      </c>
      <c r="H66" s="3" t="s">
        <v>22</v>
      </c>
      <c r="I66" s="3" t="s">
        <v>40</v>
      </c>
      <c r="J66" s="5">
        <v>16094</v>
      </c>
      <c r="K66" s="2" t="s">
        <v>395</v>
      </c>
      <c r="L66" s="6" t="s">
        <v>453</v>
      </c>
      <c r="M66" s="6" t="s">
        <v>453</v>
      </c>
      <c r="N66" s="6" t="s">
        <v>454</v>
      </c>
      <c r="O66" s="2" t="s">
        <v>27</v>
      </c>
      <c r="P66" s="3"/>
    </row>
    <row r="67" spans="1:16" ht="27">
      <c r="A67" s="2">
        <v>66</v>
      </c>
      <c r="B67" s="3" t="s">
        <v>444</v>
      </c>
      <c r="C67" s="4" t="s">
        <v>455</v>
      </c>
      <c r="D67" s="3" t="s">
        <v>456</v>
      </c>
      <c r="E67" s="3" t="s">
        <v>457</v>
      </c>
      <c r="F67" s="2" t="s">
        <v>39</v>
      </c>
      <c r="G67" s="2" t="s">
        <v>21</v>
      </c>
      <c r="H67" s="3" t="s">
        <v>22</v>
      </c>
      <c r="I67" s="3" t="s">
        <v>40</v>
      </c>
      <c r="J67" s="5">
        <v>8866</v>
      </c>
      <c r="K67" s="2" t="s">
        <v>458</v>
      </c>
      <c r="L67" s="6" t="s">
        <v>459</v>
      </c>
      <c r="M67" s="6" t="s">
        <v>459</v>
      </c>
      <c r="N67" s="6" t="s">
        <v>460</v>
      </c>
      <c r="O67" s="2" t="s">
        <v>27</v>
      </c>
      <c r="P67" s="3"/>
    </row>
    <row r="68" spans="1:16" ht="27">
      <c r="A68" s="2">
        <v>67</v>
      </c>
      <c r="B68" s="3" t="s">
        <v>444</v>
      </c>
      <c r="C68" s="4" t="s">
        <v>461</v>
      </c>
      <c r="D68" s="3" t="s">
        <v>462</v>
      </c>
      <c r="E68" s="3" t="s">
        <v>463</v>
      </c>
      <c r="F68" s="2" t="s">
        <v>39</v>
      </c>
      <c r="G68" s="2" t="s">
        <v>21</v>
      </c>
      <c r="H68" s="3" t="s">
        <v>22</v>
      </c>
      <c r="I68" s="3" t="s">
        <v>40</v>
      </c>
      <c r="J68" s="5">
        <v>14958</v>
      </c>
      <c r="K68" s="2" t="s">
        <v>464</v>
      </c>
      <c r="L68" s="6" t="s">
        <v>465</v>
      </c>
      <c r="M68" s="6" t="s">
        <v>466</v>
      </c>
      <c r="N68" s="6" t="s">
        <v>467</v>
      </c>
      <c r="O68" s="2" t="s">
        <v>27</v>
      </c>
      <c r="P68" s="3"/>
    </row>
    <row r="69" spans="1:16" ht="27">
      <c r="A69" s="2">
        <v>68</v>
      </c>
      <c r="B69" s="3" t="s">
        <v>444</v>
      </c>
      <c r="C69" s="4" t="s">
        <v>468</v>
      </c>
      <c r="D69" s="3" t="s">
        <v>469</v>
      </c>
      <c r="E69" s="3" t="s">
        <v>470</v>
      </c>
      <c r="F69" s="2" t="s">
        <v>20</v>
      </c>
      <c r="G69" s="2" t="s">
        <v>21</v>
      </c>
      <c r="H69" s="3" t="s">
        <v>22</v>
      </c>
      <c r="I69" s="3" t="s">
        <v>40</v>
      </c>
      <c r="J69" s="5">
        <v>28062</v>
      </c>
      <c r="K69" s="2" t="s">
        <v>471</v>
      </c>
      <c r="L69" s="6" t="s">
        <v>472</v>
      </c>
      <c r="M69" s="6" t="s">
        <v>472</v>
      </c>
      <c r="N69" s="6" t="s">
        <v>473</v>
      </c>
      <c r="O69" s="2" t="s">
        <v>27</v>
      </c>
      <c r="P69" s="3"/>
    </row>
    <row r="70" spans="1:16" ht="27">
      <c r="A70" s="2">
        <v>69</v>
      </c>
      <c r="B70" s="3" t="s">
        <v>444</v>
      </c>
      <c r="C70" s="4" t="s">
        <v>474</v>
      </c>
      <c r="D70" s="3" t="s">
        <v>475</v>
      </c>
      <c r="E70" s="3" t="s">
        <v>476</v>
      </c>
      <c r="F70" s="2" t="s">
        <v>20</v>
      </c>
      <c r="G70" s="2" t="s">
        <v>248</v>
      </c>
      <c r="H70" s="3" t="s">
        <v>22</v>
      </c>
      <c r="I70" s="3" t="s">
        <v>477</v>
      </c>
      <c r="J70" s="5">
        <v>22476</v>
      </c>
      <c r="K70" s="2" t="s">
        <v>478</v>
      </c>
      <c r="L70" s="6" t="s">
        <v>479</v>
      </c>
      <c r="M70" s="6" t="s">
        <v>479</v>
      </c>
      <c r="N70" s="6" t="s">
        <v>480</v>
      </c>
      <c r="O70" s="2" t="s">
        <v>27</v>
      </c>
      <c r="P70" s="3" t="s">
        <v>481</v>
      </c>
    </row>
    <row r="71" spans="1:16" ht="27">
      <c r="A71" s="2">
        <v>70</v>
      </c>
      <c r="B71" s="3" t="s">
        <v>444</v>
      </c>
      <c r="C71" s="4" t="s">
        <v>482</v>
      </c>
      <c r="D71" s="3" t="s">
        <v>483</v>
      </c>
      <c r="E71" s="3" t="s">
        <v>484</v>
      </c>
      <c r="F71" s="2" t="s">
        <v>39</v>
      </c>
      <c r="G71" s="2" t="s">
        <v>21</v>
      </c>
      <c r="H71" s="3" t="s">
        <v>22</v>
      </c>
      <c r="I71" s="3" t="s">
        <v>40</v>
      </c>
      <c r="J71" s="5">
        <v>6003</v>
      </c>
      <c r="K71" s="2" t="s">
        <v>485</v>
      </c>
      <c r="L71" s="6" t="s">
        <v>486</v>
      </c>
      <c r="M71" s="6" t="s">
        <v>487</v>
      </c>
      <c r="N71" s="6" t="s">
        <v>486</v>
      </c>
      <c r="O71" s="2" t="s">
        <v>27</v>
      </c>
      <c r="P71" s="3"/>
    </row>
    <row r="72" spans="1:16">
      <c r="A72" s="2">
        <v>71</v>
      </c>
      <c r="B72" s="3" t="s">
        <v>444</v>
      </c>
      <c r="C72" s="4" t="s">
        <v>488</v>
      </c>
      <c r="D72" s="3" t="s">
        <v>489</v>
      </c>
      <c r="E72" s="3" t="s">
        <v>490</v>
      </c>
      <c r="F72" s="2" t="s">
        <v>20</v>
      </c>
      <c r="G72" s="2" t="s">
        <v>21</v>
      </c>
      <c r="H72" s="3" t="s">
        <v>22</v>
      </c>
      <c r="I72" s="3" t="s">
        <v>40</v>
      </c>
      <c r="J72" s="5">
        <v>7129</v>
      </c>
      <c r="K72" s="2" t="s">
        <v>491</v>
      </c>
      <c r="L72" s="6" t="s">
        <v>492</v>
      </c>
      <c r="M72" s="6" t="s">
        <v>492</v>
      </c>
      <c r="N72" s="6" t="s">
        <v>493</v>
      </c>
      <c r="O72" s="2" t="s">
        <v>27</v>
      </c>
      <c r="P72" s="3"/>
    </row>
    <row r="73" spans="1:16">
      <c r="A73" s="2">
        <v>72</v>
      </c>
      <c r="B73" s="3" t="s">
        <v>444</v>
      </c>
      <c r="C73" s="4" t="s">
        <v>494</v>
      </c>
      <c r="D73" s="3" t="s">
        <v>495</v>
      </c>
      <c r="E73" s="3" t="s">
        <v>496</v>
      </c>
      <c r="F73" s="2" t="s">
        <v>20</v>
      </c>
      <c r="G73" s="2" t="s">
        <v>21</v>
      </c>
      <c r="H73" s="3" t="s">
        <v>22</v>
      </c>
      <c r="I73" s="3" t="s">
        <v>40</v>
      </c>
      <c r="J73" s="5">
        <v>16574</v>
      </c>
      <c r="K73" s="2" t="s">
        <v>497</v>
      </c>
      <c r="L73" s="6" t="s">
        <v>498</v>
      </c>
      <c r="M73" s="6" t="s">
        <v>499</v>
      </c>
      <c r="N73" s="6" t="s">
        <v>498</v>
      </c>
      <c r="O73" s="2" t="s">
        <v>27</v>
      </c>
      <c r="P73" s="3"/>
    </row>
    <row r="74" spans="1:16" ht="27">
      <c r="A74" s="2">
        <v>73</v>
      </c>
      <c r="B74" s="3" t="s">
        <v>444</v>
      </c>
      <c r="C74" s="4" t="s">
        <v>500</v>
      </c>
      <c r="D74" s="3" t="s">
        <v>501</v>
      </c>
      <c r="E74" s="3" t="s">
        <v>502</v>
      </c>
      <c r="F74" s="2" t="s">
        <v>20</v>
      </c>
      <c r="G74" s="2" t="s">
        <v>248</v>
      </c>
      <c r="H74" s="3" t="s">
        <v>22</v>
      </c>
      <c r="I74" s="3" t="s">
        <v>477</v>
      </c>
      <c r="J74" s="5">
        <v>35384</v>
      </c>
      <c r="K74" s="2" t="s">
        <v>503</v>
      </c>
      <c r="L74" s="6" t="s">
        <v>504</v>
      </c>
      <c r="M74" s="6" t="s">
        <v>505</v>
      </c>
      <c r="N74" s="6" t="s">
        <v>506</v>
      </c>
      <c r="O74" s="2" t="s">
        <v>27</v>
      </c>
      <c r="P74" s="3" t="s">
        <v>481</v>
      </c>
    </row>
    <row r="75" spans="1:16" ht="27">
      <c r="A75" s="2">
        <v>74</v>
      </c>
      <c r="B75" s="3" t="s">
        <v>444</v>
      </c>
      <c r="C75" s="4" t="s">
        <v>507</v>
      </c>
      <c r="D75" s="3" t="s">
        <v>508</v>
      </c>
      <c r="E75" s="3" t="s">
        <v>509</v>
      </c>
      <c r="F75" s="2" t="s">
        <v>20</v>
      </c>
      <c r="G75" s="2" t="s">
        <v>21</v>
      </c>
      <c r="H75" s="3" t="s">
        <v>22</v>
      </c>
      <c r="I75" s="3" t="s">
        <v>40</v>
      </c>
      <c r="J75" s="5">
        <v>4016</v>
      </c>
      <c r="K75" s="2" t="s">
        <v>510</v>
      </c>
      <c r="L75" s="6" t="s">
        <v>511</v>
      </c>
      <c r="M75" s="6" t="s">
        <v>511</v>
      </c>
      <c r="N75" s="6" t="s">
        <v>512</v>
      </c>
      <c r="O75" s="2" t="s">
        <v>27</v>
      </c>
      <c r="P75" s="3"/>
    </row>
    <row r="76" spans="1:16" ht="27">
      <c r="A76" s="2">
        <v>75</v>
      </c>
      <c r="B76" s="3" t="s">
        <v>444</v>
      </c>
      <c r="C76" s="4" t="s">
        <v>513</v>
      </c>
      <c r="D76" s="3" t="s">
        <v>514</v>
      </c>
      <c r="E76" s="3" t="s">
        <v>515</v>
      </c>
      <c r="F76" s="2" t="s">
        <v>20</v>
      </c>
      <c r="G76" s="2" t="s">
        <v>21</v>
      </c>
      <c r="H76" s="3" t="s">
        <v>240</v>
      </c>
      <c r="I76" s="3" t="s">
        <v>40</v>
      </c>
      <c r="J76" s="5">
        <v>3605</v>
      </c>
      <c r="K76" s="2" t="s">
        <v>516</v>
      </c>
      <c r="L76" s="6" t="s">
        <v>517</v>
      </c>
      <c r="M76" s="6" t="s">
        <v>517</v>
      </c>
      <c r="N76" s="6" t="s">
        <v>518</v>
      </c>
      <c r="O76" s="2" t="s">
        <v>27</v>
      </c>
      <c r="P76" s="3"/>
    </row>
    <row r="77" spans="1:16" ht="27">
      <c r="A77" s="2">
        <v>76</v>
      </c>
      <c r="B77" s="3" t="s">
        <v>444</v>
      </c>
      <c r="C77" s="4" t="s">
        <v>519</v>
      </c>
      <c r="D77" s="3" t="s">
        <v>520</v>
      </c>
      <c r="E77" s="3" t="s">
        <v>521</v>
      </c>
      <c r="F77" s="2" t="s">
        <v>20</v>
      </c>
      <c r="G77" s="2" t="s">
        <v>21</v>
      </c>
      <c r="H77" s="3" t="s">
        <v>55</v>
      </c>
      <c r="I77" s="3" t="s">
        <v>40</v>
      </c>
      <c r="J77" s="5">
        <v>41907</v>
      </c>
      <c r="K77" s="2" t="s">
        <v>522</v>
      </c>
      <c r="L77" s="6" t="s">
        <v>523</v>
      </c>
      <c r="M77" s="6" t="s">
        <v>524</v>
      </c>
      <c r="N77" s="6" t="s">
        <v>525</v>
      </c>
      <c r="O77" s="2" t="s">
        <v>27</v>
      </c>
      <c r="P77" s="3"/>
    </row>
    <row r="78" spans="1:16">
      <c r="A78" s="2">
        <v>77</v>
      </c>
      <c r="B78" s="3" t="s">
        <v>444</v>
      </c>
      <c r="C78" s="4" t="s">
        <v>526</v>
      </c>
      <c r="D78" s="3" t="s">
        <v>527</v>
      </c>
      <c r="E78" s="3" t="s">
        <v>528</v>
      </c>
      <c r="F78" s="2" t="s">
        <v>20</v>
      </c>
      <c r="G78" s="2" t="s">
        <v>21</v>
      </c>
      <c r="H78" s="3" t="s">
        <v>22</v>
      </c>
      <c r="I78" s="3" t="s">
        <v>40</v>
      </c>
      <c r="J78" s="5">
        <v>5365</v>
      </c>
      <c r="K78" s="2" t="s">
        <v>529</v>
      </c>
      <c r="L78" s="6" t="s">
        <v>530</v>
      </c>
      <c r="M78" s="6" t="s">
        <v>530</v>
      </c>
      <c r="N78" s="6" t="s">
        <v>531</v>
      </c>
      <c r="O78" s="2" t="s">
        <v>27</v>
      </c>
      <c r="P78" s="3"/>
    </row>
    <row r="79" spans="1:16" ht="27">
      <c r="A79" s="2">
        <v>78</v>
      </c>
      <c r="B79" s="3" t="s">
        <v>444</v>
      </c>
      <c r="C79" s="4" t="s">
        <v>532</v>
      </c>
      <c r="D79" s="3" t="s">
        <v>533</v>
      </c>
      <c r="E79" s="3" t="s">
        <v>534</v>
      </c>
      <c r="F79" s="2" t="s">
        <v>39</v>
      </c>
      <c r="G79" s="2" t="s">
        <v>21</v>
      </c>
      <c r="H79" s="3" t="s">
        <v>55</v>
      </c>
      <c r="I79" s="3" t="s">
        <v>40</v>
      </c>
      <c r="J79" s="5">
        <v>8431</v>
      </c>
      <c r="K79" s="2" t="s">
        <v>522</v>
      </c>
      <c r="L79" s="6" t="s">
        <v>535</v>
      </c>
      <c r="M79" s="6" t="s">
        <v>536</v>
      </c>
      <c r="N79" s="6" t="s">
        <v>537</v>
      </c>
      <c r="O79" s="2" t="s">
        <v>27</v>
      </c>
      <c r="P79" s="3"/>
    </row>
    <row r="80" spans="1:16" ht="27">
      <c r="A80" s="2">
        <v>79</v>
      </c>
      <c r="B80" s="3" t="s">
        <v>444</v>
      </c>
      <c r="C80" s="4" t="s">
        <v>538</v>
      </c>
      <c r="D80" s="3" t="s">
        <v>539</v>
      </c>
      <c r="E80" s="3" t="s">
        <v>540</v>
      </c>
      <c r="F80" s="2" t="s">
        <v>20</v>
      </c>
      <c r="G80" s="2" t="s">
        <v>248</v>
      </c>
      <c r="H80" s="3" t="s">
        <v>22</v>
      </c>
      <c r="I80" s="3" t="s">
        <v>477</v>
      </c>
      <c r="J80" s="5">
        <v>7564</v>
      </c>
      <c r="K80" s="2" t="s">
        <v>541</v>
      </c>
      <c r="L80" s="6" t="s">
        <v>542</v>
      </c>
      <c r="M80" s="6" t="s">
        <v>542</v>
      </c>
      <c r="N80" s="6" t="s">
        <v>543</v>
      </c>
      <c r="O80" s="2" t="s">
        <v>27</v>
      </c>
      <c r="P80" s="3" t="s">
        <v>481</v>
      </c>
    </row>
    <row r="81" spans="1:16">
      <c r="A81" s="7">
        <v>80</v>
      </c>
      <c r="B81" s="8" t="s">
        <v>544</v>
      </c>
      <c r="C81" s="9" t="s">
        <v>545</v>
      </c>
      <c r="D81" s="8" t="s">
        <v>546</v>
      </c>
      <c r="E81" s="8" t="s">
        <v>547</v>
      </c>
      <c r="F81" s="7" t="s">
        <v>20</v>
      </c>
      <c r="G81" s="7" t="s">
        <v>21</v>
      </c>
      <c r="H81" s="8" t="s">
        <v>22</v>
      </c>
      <c r="I81" s="8" t="s">
        <v>477</v>
      </c>
      <c r="J81" s="10">
        <v>16276</v>
      </c>
      <c r="K81" s="7" t="s">
        <v>548</v>
      </c>
      <c r="L81" s="11" t="s">
        <v>549</v>
      </c>
      <c r="M81" s="11" t="s">
        <v>549</v>
      </c>
      <c r="N81" s="11" t="s">
        <v>550</v>
      </c>
      <c r="O81" s="7" t="s">
        <v>27</v>
      </c>
      <c r="P81" s="8" t="s">
        <v>551</v>
      </c>
    </row>
    <row r="82" spans="1:16" ht="27">
      <c r="A82" s="7">
        <v>81</v>
      </c>
      <c r="B82" s="8" t="s">
        <v>544</v>
      </c>
      <c r="C82" s="9" t="s">
        <v>552</v>
      </c>
      <c r="D82" s="8" t="s">
        <v>553</v>
      </c>
      <c r="E82" s="8" t="s">
        <v>554</v>
      </c>
      <c r="F82" s="7" t="s">
        <v>20</v>
      </c>
      <c r="G82" s="7" t="s">
        <v>248</v>
      </c>
      <c r="H82" s="8" t="s">
        <v>22</v>
      </c>
      <c r="I82" s="8" t="s">
        <v>477</v>
      </c>
      <c r="J82" s="10">
        <v>3179</v>
      </c>
      <c r="K82" s="7" t="s">
        <v>555</v>
      </c>
      <c r="L82" s="11" t="s">
        <v>556</v>
      </c>
      <c r="M82" s="11" t="s">
        <v>556</v>
      </c>
      <c r="N82" s="11" t="s">
        <v>557</v>
      </c>
      <c r="O82" s="7" t="s">
        <v>27</v>
      </c>
      <c r="P82" s="8" t="s">
        <v>481</v>
      </c>
    </row>
    <row r="83" spans="1:16">
      <c r="A83" s="7">
        <v>82</v>
      </c>
      <c r="B83" s="8" t="s">
        <v>544</v>
      </c>
      <c r="C83" s="9" t="s">
        <v>558</v>
      </c>
      <c r="D83" s="8" t="s">
        <v>559</v>
      </c>
      <c r="E83" s="8" t="s">
        <v>560</v>
      </c>
      <c r="F83" s="7" t="s">
        <v>20</v>
      </c>
      <c r="G83" s="7" t="s">
        <v>21</v>
      </c>
      <c r="H83" s="8" t="s">
        <v>22</v>
      </c>
      <c r="I83" s="8" t="s">
        <v>40</v>
      </c>
      <c r="J83" s="10">
        <v>1757</v>
      </c>
      <c r="K83" s="7" t="s">
        <v>561</v>
      </c>
      <c r="L83" s="11" t="s">
        <v>562</v>
      </c>
      <c r="M83" s="11" t="s">
        <v>562</v>
      </c>
      <c r="N83" s="11" t="s">
        <v>563</v>
      </c>
      <c r="O83" s="7" t="s">
        <v>27</v>
      </c>
      <c r="P83" s="8"/>
    </row>
    <row r="84" spans="1:16">
      <c r="A84" s="7">
        <v>83</v>
      </c>
      <c r="B84" s="8" t="s">
        <v>544</v>
      </c>
      <c r="C84" s="9" t="s">
        <v>564</v>
      </c>
      <c r="D84" s="8" t="s">
        <v>565</v>
      </c>
      <c r="E84" s="8" t="s">
        <v>566</v>
      </c>
      <c r="F84" s="7" t="s">
        <v>20</v>
      </c>
      <c r="G84" s="7" t="s">
        <v>21</v>
      </c>
      <c r="H84" s="8" t="s">
        <v>22</v>
      </c>
      <c r="I84" s="8" t="s">
        <v>567</v>
      </c>
      <c r="J84" s="10">
        <v>732</v>
      </c>
      <c r="K84" s="7" t="s">
        <v>568</v>
      </c>
      <c r="L84" s="11" t="s">
        <v>569</v>
      </c>
      <c r="M84" s="11" t="s">
        <v>570</v>
      </c>
      <c r="N84" s="11" t="s">
        <v>569</v>
      </c>
      <c r="O84" s="7" t="s">
        <v>27</v>
      </c>
      <c r="P84" s="8"/>
    </row>
    <row r="85" spans="1:16" ht="27">
      <c r="A85" s="7">
        <v>84</v>
      </c>
      <c r="B85" s="8" t="s">
        <v>544</v>
      </c>
      <c r="C85" s="9" t="s">
        <v>571</v>
      </c>
      <c r="D85" s="8" t="s">
        <v>572</v>
      </c>
      <c r="E85" s="8" t="s">
        <v>573</v>
      </c>
      <c r="F85" s="7" t="s">
        <v>20</v>
      </c>
      <c r="G85" s="7" t="s">
        <v>21</v>
      </c>
      <c r="H85" s="8" t="s">
        <v>22</v>
      </c>
      <c r="I85" s="8" t="s">
        <v>40</v>
      </c>
      <c r="J85" s="10">
        <v>1753</v>
      </c>
      <c r="K85" s="7" t="s">
        <v>574</v>
      </c>
      <c r="L85" s="11" t="s">
        <v>575</v>
      </c>
      <c r="M85" s="11" t="s">
        <v>575</v>
      </c>
      <c r="N85" s="11" t="s">
        <v>576</v>
      </c>
      <c r="O85" s="7" t="s">
        <v>27</v>
      </c>
      <c r="P85" s="8" t="s">
        <v>577</v>
      </c>
    </row>
    <row r="86" spans="1:16">
      <c r="A86" s="7">
        <v>85</v>
      </c>
      <c r="B86" s="8" t="s">
        <v>544</v>
      </c>
      <c r="C86" s="9" t="s">
        <v>578</v>
      </c>
      <c r="D86" s="8" t="s">
        <v>579</v>
      </c>
      <c r="E86" s="8" t="s">
        <v>580</v>
      </c>
      <c r="F86" s="7" t="s">
        <v>39</v>
      </c>
      <c r="G86" s="7" t="s">
        <v>21</v>
      </c>
      <c r="H86" s="8" t="s">
        <v>22</v>
      </c>
      <c r="I86" s="8" t="s">
        <v>40</v>
      </c>
      <c r="J86" s="10">
        <v>3079</v>
      </c>
      <c r="K86" s="7" t="s">
        <v>581</v>
      </c>
      <c r="L86" s="11" t="s">
        <v>582</v>
      </c>
      <c r="M86" s="11" t="s">
        <v>582</v>
      </c>
      <c r="N86" s="11" t="s">
        <v>583</v>
      </c>
      <c r="O86" s="7" t="s">
        <v>27</v>
      </c>
      <c r="P86" s="8"/>
    </row>
    <row r="87" spans="1:16">
      <c r="A87" s="7">
        <v>86</v>
      </c>
      <c r="B87" s="8" t="s">
        <v>544</v>
      </c>
      <c r="C87" s="9" t="s">
        <v>584</v>
      </c>
      <c r="D87" s="8" t="s">
        <v>585</v>
      </c>
      <c r="E87" s="8" t="s">
        <v>586</v>
      </c>
      <c r="F87" s="7" t="s">
        <v>20</v>
      </c>
      <c r="G87" s="7" t="s">
        <v>21</v>
      </c>
      <c r="H87" s="8" t="s">
        <v>22</v>
      </c>
      <c r="I87" s="8" t="s">
        <v>40</v>
      </c>
      <c r="J87" s="10">
        <v>696</v>
      </c>
      <c r="K87" s="7" t="s">
        <v>587</v>
      </c>
      <c r="L87" s="11" t="s">
        <v>588</v>
      </c>
      <c r="M87" s="11" t="s">
        <v>588</v>
      </c>
      <c r="N87" s="11" t="s">
        <v>589</v>
      </c>
      <c r="O87" s="7" t="s">
        <v>27</v>
      </c>
      <c r="P87" s="8"/>
    </row>
    <row r="88" spans="1:16">
      <c r="A88" s="7">
        <v>87</v>
      </c>
      <c r="B88" s="8" t="s">
        <v>544</v>
      </c>
      <c r="C88" s="9" t="s">
        <v>590</v>
      </c>
      <c r="D88" s="8" t="s">
        <v>591</v>
      </c>
      <c r="E88" s="8" t="s">
        <v>592</v>
      </c>
      <c r="F88" s="7" t="s">
        <v>20</v>
      </c>
      <c r="G88" s="7" t="s">
        <v>21</v>
      </c>
      <c r="H88" s="8" t="s">
        <v>22</v>
      </c>
      <c r="I88" s="8" t="s">
        <v>40</v>
      </c>
      <c r="J88" s="10">
        <v>3853</v>
      </c>
      <c r="K88" s="7" t="s">
        <v>593</v>
      </c>
      <c r="L88" s="11" t="s">
        <v>594</v>
      </c>
      <c r="M88" s="11" t="s">
        <v>594</v>
      </c>
      <c r="N88" s="11" t="s">
        <v>595</v>
      </c>
      <c r="O88" s="7" t="s">
        <v>27</v>
      </c>
      <c r="P88" s="8"/>
    </row>
    <row r="89" spans="1:16" ht="27">
      <c r="A89" s="7">
        <v>88</v>
      </c>
      <c r="B89" s="8" t="s">
        <v>544</v>
      </c>
      <c r="C89" s="9" t="s">
        <v>596</v>
      </c>
      <c r="D89" s="8" t="s">
        <v>597</v>
      </c>
      <c r="E89" s="8" t="s">
        <v>598</v>
      </c>
      <c r="F89" s="7" t="s">
        <v>206</v>
      </c>
      <c r="G89" s="7" t="s">
        <v>21</v>
      </c>
      <c r="H89" s="8" t="s">
        <v>22</v>
      </c>
      <c r="I89" s="8" t="s">
        <v>40</v>
      </c>
      <c r="J89" s="10">
        <v>5025</v>
      </c>
      <c r="K89" s="7" t="s">
        <v>599</v>
      </c>
      <c r="L89" s="11" t="s">
        <v>600</v>
      </c>
      <c r="M89" s="11" t="s">
        <v>601</v>
      </c>
      <c r="N89" s="11" t="s">
        <v>602</v>
      </c>
      <c r="O89" s="7" t="s">
        <v>27</v>
      </c>
      <c r="P89" s="8"/>
    </row>
    <row r="90" spans="1:16" ht="27">
      <c r="A90" s="7">
        <v>89</v>
      </c>
      <c r="B90" s="8" t="s">
        <v>544</v>
      </c>
      <c r="C90" s="9" t="s">
        <v>603</v>
      </c>
      <c r="D90" s="8" t="s">
        <v>604</v>
      </c>
      <c r="E90" s="8" t="s">
        <v>605</v>
      </c>
      <c r="F90" s="7" t="s">
        <v>20</v>
      </c>
      <c r="G90" s="7" t="s">
        <v>21</v>
      </c>
      <c r="H90" s="8" t="s">
        <v>22</v>
      </c>
      <c r="I90" s="8" t="s">
        <v>40</v>
      </c>
      <c r="J90" s="10">
        <v>9705</v>
      </c>
      <c r="K90" s="7" t="s">
        <v>606</v>
      </c>
      <c r="L90" s="11" t="s">
        <v>607</v>
      </c>
      <c r="M90" s="11" t="s">
        <v>607</v>
      </c>
      <c r="N90" s="11" t="s">
        <v>608</v>
      </c>
      <c r="O90" s="7" t="s">
        <v>27</v>
      </c>
      <c r="P90" s="8"/>
    </row>
    <row r="91" spans="1:16">
      <c r="A91" s="7">
        <v>90</v>
      </c>
      <c r="B91" s="8" t="s">
        <v>544</v>
      </c>
      <c r="C91" s="9" t="s">
        <v>609</v>
      </c>
      <c r="D91" s="8" t="s">
        <v>610</v>
      </c>
      <c r="E91" s="8" t="s">
        <v>611</v>
      </c>
      <c r="F91" s="7" t="s">
        <v>20</v>
      </c>
      <c r="G91" s="7" t="s">
        <v>21</v>
      </c>
      <c r="H91" s="8" t="s">
        <v>22</v>
      </c>
      <c r="I91" s="8" t="s">
        <v>40</v>
      </c>
      <c r="J91" s="10">
        <v>37218</v>
      </c>
      <c r="K91" s="7" t="s">
        <v>48</v>
      </c>
      <c r="L91" s="11" t="s">
        <v>612</v>
      </c>
      <c r="M91" s="11" t="s">
        <v>613</v>
      </c>
      <c r="N91" s="11" t="s">
        <v>614</v>
      </c>
      <c r="O91" s="7" t="s">
        <v>27</v>
      </c>
      <c r="P91" s="8"/>
    </row>
    <row r="92" spans="1:16" ht="27">
      <c r="A92" s="2">
        <v>91</v>
      </c>
      <c r="B92" s="3" t="s">
        <v>615</v>
      </c>
      <c r="C92" s="4" t="s">
        <v>616</v>
      </c>
      <c r="D92" s="3" t="s">
        <v>617</v>
      </c>
      <c r="E92" s="3" t="s">
        <v>618</v>
      </c>
      <c r="F92" s="2" t="s">
        <v>20</v>
      </c>
      <c r="G92" s="2" t="s">
        <v>21</v>
      </c>
      <c r="H92" s="3" t="s">
        <v>55</v>
      </c>
      <c r="I92" s="3" t="s">
        <v>40</v>
      </c>
      <c r="J92" s="5">
        <v>8983</v>
      </c>
      <c r="K92" s="2" t="s">
        <v>23</v>
      </c>
      <c r="L92" s="6" t="s">
        <v>619</v>
      </c>
      <c r="M92" s="6" t="s">
        <v>620</v>
      </c>
      <c r="N92" s="6" t="s">
        <v>621</v>
      </c>
      <c r="O92" s="2" t="s">
        <v>27</v>
      </c>
      <c r="P92" s="3"/>
    </row>
    <row r="93" spans="1:16" ht="27">
      <c r="A93" s="2">
        <v>92</v>
      </c>
      <c r="B93" s="3" t="s">
        <v>615</v>
      </c>
      <c r="C93" s="4" t="s">
        <v>622</v>
      </c>
      <c r="D93" s="3" t="s">
        <v>623</v>
      </c>
      <c r="E93" s="3" t="s">
        <v>624</v>
      </c>
      <c r="F93" s="2" t="s">
        <v>20</v>
      </c>
      <c r="G93" s="2" t="s">
        <v>21</v>
      </c>
      <c r="H93" s="3" t="s">
        <v>22</v>
      </c>
      <c r="I93" s="3" t="s">
        <v>40</v>
      </c>
      <c r="J93" s="5">
        <v>30212</v>
      </c>
      <c r="K93" s="2" t="s">
        <v>625</v>
      </c>
      <c r="L93" s="6" t="s">
        <v>626</v>
      </c>
      <c r="M93" s="6" t="s">
        <v>626</v>
      </c>
      <c r="N93" s="6" t="s">
        <v>627</v>
      </c>
      <c r="O93" s="2" t="s">
        <v>27</v>
      </c>
      <c r="P93" s="3"/>
    </row>
    <row r="94" spans="1:16">
      <c r="A94" s="2">
        <v>93</v>
      </c>
      <c r="B94" s="3" t="s">
        <v>615</v>
      </c>
      <c r="C94" s="4" t="s">
        <v>628</v>
      </c>
      <c r="D94" s="3" t="s">
        <v>629</v>
      </c>
      <c r="E94" s="3" t="s">
        <v>630</v>
      </c>
      <c r="F94" s="2" t="s">
        <v>39</v>
      </c>
      <c r="G94" s="2" t="s">
        <v>21</v>
      </c>
      <c r="H94" s="3" t="s">
        <v>22</v>
      </c>
      <c r="I94" s="3" t="s">
        <v>40</v>
      </c>
      <c r="J94" s="5">
        <v>2477</v>
      </c>
      <c r="K94" s="2" t="s">
        <v>631</v>
      </c>
      <c r="L94" s="6" t="s">
        <v>632</v>
      </c>
      <c r="M94" s="6" t="s">
        <v>632</v>
      </c>
      <c r="N94" s="6" t="s">
        <v>633</v>
      </c>
      <c r="O94" s="2" t="s">
        <v>27</v>
      </c>
      <c r="P94" s="3"/>
    </row>
    <row r="95" spans="1:16">
      <c r="A95" s="2">
        <v>94</v>
      </c>
      <c r="B95" s="3" t="s">
        <v>615</v>
      </c>
      <c r="C95" s="4" t="s">
        <v>634</v>
      </c>
      <c r="D95" s="3" t="s">
        <v>635</v>
      </c>
      <c r="E95" s="3" t="s">
        <v>636</v>
      </c>
      <c r="F95" s="2" t="s">
        <v>20</v>
      </c>
      <c r="G95" s="2" t="s">
        <v>21</v>
      </c>
      <c r="H95" s="3" t="s">
        <v>22</v>
      </c>
      <c r="I95" s="3" t="s">
        <v>40</v>
      </c>
      <c r="J95" s="5">
        <v>7102</v>
      </c>
      <c r="K95" s="2" t="s">
        <v>637</v>
      </c>
      <c r="L95" s="6" t="s">
        <v>638</v>
      </c>
      <c r="M95" s="6" t="s">
        <v>638</v>
      </c>
      <c r="N95" s="6" t="s">
        <v>639</v>
      </c>
      <c r="O95" s="2" t="s">
        <v>27</v>
      </c>
      <c r="P95" s="3"/>
    </row>
    <row r="96" spans="1:16" ht="27">
      <c r="A96" s="2">
        <v>95</v>
      </c>
      <c r="B96" s="3" t="s">
        <v>615</v>
      </c>
      <c r="C96" s="4" t="s">
        <v>640</v>
      </c>
      <c r="D96" s="3" t="s">
        <v>641</v>
      </c>
      <c r="E96" s="3" t="s">
        <v>642</v>
      </c>
      <c r="F96" s="2" t="s">
        <v>20</v>
      </c>
      <c r="G96" s="2" t="s">
        <v>21</v>
      </c>
      <c r="H96" s="3" t="s">
        <v>22</v>
      </c>
      <c r="I96" s="3" t="s">
        <v>40</v>
      </c>
      <c r="J96" s="5">
        <v>5303</v>
      </c>
      <c r="K96" s="2" t="s">
        <v>643</v>
      </c>
      <c r="L96" s="6" t="s">
        <v>644</v>
      </c>
      <c r="M96" s="6" t="s">
        <v>645</v>
      </c>
      <c r="N96" s="6" t="s">
        <v>646</v>
      </c>
      <c r="O96" s="2" t="s">
        <v>27</v>
      </c>
      <c r="P96" s="3"/>
    </row>
    <row r="97" spans="1:16">
      <c r="A97" s="2">
        <v>96</v>
      </c>
      <c r="B97" s="3" t="s">
        <v>615</v>
      </c>
      <c r="C97" s="4" t="s">
        <v>647</v>
      </c>
      <c r="D97" s="3" t="s">
        <v>648</v>
      </c>
      <c r="E97" s="3" t="s">
        <v>649</v>
      </c>
      <c r="F97" s="2" t="s">
        <v>20</v>
      </c>
      <c r="G97" s="2" t="s">
        <v>21</v>
      </c>
      <c r="H97" s="3" t="s">
        <v>22</v>
      </c>
      <c r="I97" s="3" t="s">
        <v>477</v>
      </c>
      <c r="J97" s="5">
        <v>10084</v>
      </c>
      <c r="K97" s="2" t="s">
        <v>650</v>
      </c>
      <c r="L97" s="6" t="s">
        <v>651</v>
      </c>
      <c r="M97" s="6" t="s">
        <v>651</v>
      </c>
      <c r="N97" s="6" t="s">
        <v>652</v>
      </c>
      <c r="O97" s="2" t="s">
        <v>27</v>
      </c>
      <c r="P97" s="3" t="s">
        <v>551</v>
      </c>
    </row>
    <row r="98" spans="1:16" ht="27">
      <c r="A98" s="2">
        <v>97</v>
      </c>
      <c r="B98" s="3" t="s">
        <v>615</v>
      </c>
      <c r="C98" s="4" t="s">
        <v>653</v>
      </c>
      <c r="D98" s="3" t="s">
        <v>654</v>
      </c>
      <c r="E98" s="3" t="s">
        <v>655</v>
      </c>
      <c r="F98" s="2" t="s">
        <v>20</v>
      </c>
      <c r="G98" s="2" t="s">
        <v>21</v>
      </c>
      <c r="H98" s="3" t="s">
        <v>22</v>
      </c>
      <c r="I98" s="3" t="s">
        <v>567</v>
      </c>
      <c r="J98" s="5">
        <v>12773</v>
      </c>
      <c r="K98" s="2" t="s">
        <v>656</v>
      </c>
      <c r="L98" s="6" t="s">
        <v>657</v>
      </c>
      <c r="M98" s="6" t="s">
        <v>657</v>
      </c>
      <c r="N98" s="6" t="s">
        <v>658</v>
      </c>
      <c r="O98" s="2" t="s">
        <v>27</v>
      </c>
      <c r="P98" s="3"/>
    </row>
    <row r="99" spans="1:16" ht="27">
      <c r="A99" s="2">
        <v>98</v>
      </c>
      <c r="B99" s="3" t="s">
        <v>615</v>
      </c>
      <c r="C99" s="4" t="s">
        <v>659</v>
      </c>
      <c r="D99" s="3" t="s">
        <v>660</v>
      </c>
      <c r="E99" s="3" t="s">
        <v>661</v>
      </c>
      <c r="F99" s="2" t="s">
        <v>20</v>
      </c>
      <c r="G99" s="2" t="s">
        <v>21</v>
      </c>
      <c r="H99" s="3" t="s">
        <v>22</v>
      </c>
      <c r="I99" s="3" t="s">
        <v>40</v>
      </c>
      <c r="J99" s="5">
        <v>1294</v>
      </c>
      <c r="K99" s="2" t="s">
        <v>662</v>
      </c>
      <c r="L99" s="6" t="s">
        <v>663</v>
      </c>
      <c r="M99" s="6" t="s">
        <v>664</v>
      </c>
      <c r="N99" s="6" t="s">
        <v>663</v>
      </c>
      <c r="O99" s="2" t="s">
        <v>27</v>
      </c>
      <c r="P99" s="3"/>
    </row>
    <row r="100" spans="1:16" ht="27">
      <c r="A100" s="2">
        <v>99</v>
      </c>
      <c r="B100" s="3" t="s">
        <v>615</v>
      </c>
      <c r="C100" s="4" t="s">
        <v>665</v>
      </c>
      <c r="D100" s="3" t="s">
        <v>666</v>
      </c>
      <c r="E100" s="3" t="s">
        <v>667</v>
      </c>
      <c r="F100" s="2" t="s">
        <v>20</v>
      </c>
      <c r="G100" s="2" t="s">
        <v>21</v>
      </c>
      <c r="H100" s="3" t="s">
        <v>22</v>
      </c>
      <c r="I100" s="3" t="s">
        <v>40</v>
      </c>
      <c r="J100" s="5">
        <v>1384</v>
      </c>
      <c r="K100" s="2" t="s">
        <v>668</v>
      </c>
      <c r="L100" s="6" t="s">
        <v>669</v>
      </c>
      <c r="M100" s="6" t="s">
        <v>669</v>
      </c>
      <c r="N100" s="6" t="s">
        <v>670</v>
      </c>
      <c r="O100" s="2" t="s">
        <v>27</v>
      </c>
      <c r="P100" s="3"/>
    </row>
    <row r="101" spans="1:16" ht="27">
      <c r="A101" s="2">
        <v>100</v>
      </c>
      <c r="B101" s="3" t="s">
        <v>615</v>
      </c>
      <c r="C101" s="4" t="s">
        <v>671</v>
      </c>
      <c r="D101" s="3" t="s">
        <v>672</v>
      </c>
      <c r="E101" s="3" t="s">
        <v>673</v>
      </c>
      <c r="F101" s="2" t="s">
        <v>20</v>
      </c>
      <c r="G101" s="2" t="s">
        <v>21</v>
      </c>
      <c r="H101" s="3" t="s">
        <v>22</v>
      </c>
      <c r="I101" s="3" t="s">
        <v>40</v>
      </c>
      <c r="J101" s="5">
        <v>16673</v>
      </c>
      <c r="K101" s="2" t="s">
        <v>674</v>
      </c>
      <c r="L101" s="6" t="s">
        <v>675</v>
      </c>
      <c r="M101" s="6" t="s">
        <v>676</v>
      </c>
      <c r="N101" s="6" t="s">
        <v>675</v>
      </c>
      <c r="O101" s="2" t="s">
        <v>27</v>
      </c>
      <c r="P101" s="3"/>
    </row>
    <row r="102" spans="1:16" ht="27">
      <c r="A102" s="2">
        <v>101</v>
      </c>
      <c r="B102" s="3" t="s">
        <v>615</v>
      </c>
      <c r="C102" s="4" t="s">
        <v>677</v>
      </c>
      <c r="D102" s="3" t="s">
        <v>678</v>
      </c>
      <c r="E102" s="3" t="s">
        <v>679</v>
      </c>
      <c r="F102" s="2" t="s">
        <v>20</v>
      </c>
      <c r="G102" s="2" t="s">
        <v>110</v>
      </c>
      <c r="H102" s="3" t="s">
        <v>680</v>
      </c>
      <c r="I102" s="3" t="s">
        <v>681</v>
      </c>
      <c r="J102" s="5">
        <v>2632</v>
      </c>
      <c r="K102" s="2" t="s">
        <v>56</v>
      </c>
      <c r="L102" s="6" t="s">
        <v>682</v>
      </c>
      <c r="M102" s="6" t="s">
        <v>683</v>
      </c>
      <c r="N102" s="6" t="s">
        <v>684</v>
      </c>
      <c r="O102" s="2" t="s">
        <v>27</v>
      </c>
      <c r="P102" s="3"/>
    </row>
    <row r="103" spans="1:16">
      <c r="A103" s="2">
        <v>102</v>
      </c>
      <c r="B103" s="3" t="s">
        <v>615</v>
      </c>
      <c r="C103" s="4" t="s">
        <v>685</v>
      </c>
      <c r="D103" s="3" t="s">
        <v>686</v>
      </c>
      <c r="E103" s="3" t="s">
        <v>687</v>
      </c>
      <c r="F103" s="2" t="s">
        <v>20</v>
      </c>
      <c r="G103" s="2" t="s">
        <v>21</v>
      </c>
      <c r="H103" s="3" t="s">
        <v>22</v>
      </c>
      <c r="I103" s="3" t="s">
        <v>40</v>
      </c>
      <c r="J103" s="5">
        <v>5913</v>
      </c>
      <c r="K103" s="2" t="s">
        <v>395</v>
      </c>
      <c r="L103" s="6" t="s">
        <v>688</v>
      </c>
      <c r="M103" s="6" t="s">
        <v>688</v>
      </c>
      <c r="N103" s="6" t="s">
        <v>689</v>
      </c>
      <c r="O103" s="2" t="s">
        <v>27</v>
      </c>
      <c r="P103" s="3"/>
    </row>
    <row r="104" spans="1:16" ht="27">
      <c r="A104" s="2">
        <v>103</v>
      </c>
      <c r="B104" s="3" t="s">
        <v>615</v>
      </c>
      <c r="C104" s="4" t="s">
        <v>690</v>
      </c>
      <c r="D104" s="3" t="s">
        <v>691</v>
      </c>
      <c r="E104" s="3" t="s">
        <v>692</v>
      </c>
      <c r="F104" s="2" t="s">
        <v>20</v>
      </c>
      <c r="G104" s="2" t="s">
        <v>21</v>
      </c>
      <c r="H104" s="3" t="s">
        <v>22</v>
      </c>
      <c r="I104" s="3" t="s">
        <v>40</v>
      </c>
      <c r="J104" s="5">
        <v>1883</v>
      </c>
      <c r="K104" s="2" t="s">
        <v>693</v>
      </c>
      <c r="L104" s="6" t="s">
        <v>694</v>
      </c>
      <c r="M104" s="6" t="s">
        <v>695</v>
      </c>
      <c r="N104" s="6" t="s">
        <v>694</v>
      </c>
      <c r="O104" s="2" t="s">
        <v>27</v>
      </c>
      <c r="P104" s="3"/>
    </row>
    <row r="105" spans="1:16" ht="27">
      <c r="A105" s="2">
        <v>104</v>
      </c>
      <c r="B105" s="3" t="s">
        <v>615</v>
      </c>
      <c r="C105" s="4" t="s">
        <v>696</v>
      </c>
      <c r="D105" s="3" t="s">
        <v>697</v>
      </c>
      <c r="E105" s="3" t="s">
        <v>698</v>
      </c>
      <c r="F105" s="2" t="s">
        <v>20</v>
      </c>
      <c r="G105" s="2" t="s">
        <v>21</v>
      </c>
      <c r="H105" s="3" t="s">
        <v>22</v>
      </c>
      <c r="I105" s="3" t="s">
        <v>40</v>
      </c>
      <c r="J105" s="5">
        <v>4065</v>
      </c>
      <c r="K105" s="2" t="s">
        <v>699</v>
      </c>
      <c r="L105" s="6" t="s">
        <v>700</v>
      </c>
      <c r="M105" s="6" t="s">
        <v>700</v>
      </c>
      <c r="N105" s="6" t="s">
        <v>701</v>
      </c>
      <c r="O105" s="2" t="s">
        <v>27</v>
      </c>
      <c r="P105" s="3"/>
    </row>
    <row r="106" spans="1:16">
      <c r="A106" s="7">
        <v>105</v>
      </c>
      <c r="B106" s="8" t="s">
        <v>702</v>
      </c>
      <c r="C106" s="9" t="s">
        <v>703</v>
      </c>
      <c r="D106" s="8" t="s">
        <v>704</v>
      </c>
      <c r="E106" s="8" t="s">
        <v>705</v>
      </c>
      <c r="F106" s="7" t="s">
        <v>20</v>
      </c>
      <c r="G106" s="7" t="s">
        <v>21</v>
      </c>
      <c r="H106" s="8" t="s">
        <v>22</v>
      </c>
      <c r="I106" s="8" t="s">
        <v>40</v>
      </c>
      <c r="J106" s="10">
        <v>18440</v>
      </c>
      <c r="K106" s="7" t="s">
        <v>23</v>
      </c>
      <c r="L106" s="11" t="s">
        <v>706</v>
      </c>
      <c r="M106" s="11" t="s">
        <v>707</v>
      </c>
      <c r="N106" s="11" t="s">
        <v>708</v>
      </c>
      <c r="O106" s="7" t="s">
        <v>27</v>
      </c>
      <c r="P106" s="8"/>
    </row>
    <row r="107" spans="1:16">
      <c r="A107" s="7">
        <v>106</v>
      </c>
      <c r="B107" s="8" t="s">
        <v>702</v>
      </c>
      <c r="C107" s="9" t="s">
        <v>709</v>
      </c>
      <c r="D107" s="8" t="s">
        <v>710</v>
      </c>
      <c r="E107" s="8" t="s">
        <v>711</v>
      </c>
      <c r="F107" s="7" t="s">
        <v>39</v>
      </c>
      <c r="G107" s="7" t="s">
        <v>21</v>
      </c>
      <c r="H107" s="8" t="s">
        <v>22</v>
      </c>
      <c r="I107" s="8" t="s">
        <v>40</v>
      </c>
      <c r="J107" s="10">
        <v>5287</v>
      </c>
      <c r="K107" s="7" t="s">
        <v>395</v>
      </c>
      <c r="L107" s="11" t="s">
        <v>712</v>
      </c>
      <c r="M107" s="11" t="s">
        <v>712</v>
      </c>
      <c r="N107" s="11" t="s">
        <v>713</v>
      </c>
      <c r="O107" s="7" t="s">
        <v>27</v>
      </c>
      <c r="P107" s="8"/>
    </row>
    <row r="108" spans="1:16">
      <c r="A108" s="7">
        <v>107</v>
      </c>
      <c r="B108" s="8" t="s">
        <v>702</v>
      </c>
      <c r="C108" s="9" t="s">
        <v>714</v>
      </c>
      <c r="D108" s="8" t="s">
        <v>715</v>
      </c>
      <c r="E108" s="8" t="s">
        <v>716</v>
      </c>
      <c r="F108" s="7" t="s">
        <v>39</v>
      </c>
      <c r="G108" s="7" t="s">
        <v>21</v>
      </c>
      <c r="H108" s="8" t="s">
        <v>22</v>
      </c>
      <c r="I108" s="8" t="s">
        <v>40</v>
      </c>
      <c r="J108" s="10">
        <v>2691</v>
      </c>
      <c r="K108" s="7" t="s">
        <v>717</v>
      </c>
      <c r="L108" s="11" t="s">
        <v>718</v>
      </c>
      <c r="M108" s="11" t="s">
        <v>719</v>
      </c>
      <c r="N108" s="11" t="s">
        <v>718</v>
      </c>
      <c r="O108" s="7" t="s">
        <v>27</v>
      </c>
      <c r="P108" s="8"/>
    </row>
    <row r="109" spans="1:16">
      <c r="A109" s="7">
        <v>108</v>
      </c>
      <c r="B109" s="8" t="s">
        <v>702</v>
      </c>
      <c r="C109" s="9" t="s">
        <v>720</v>
      </c>
      <c r="D109" s="8" t="s">
        <v>721</v>
      </c>
      <c r="E109" s="8" t="s">
        <v>722</v>
      </c>
      <c r="F109" s="7" t="s">
        <v>39</v>
      </c>
      <c r="G109" s="7" t="s">
        <v>21</v>
      </c>
      <c r="H109" s="8" t="s">
        <v>22</v>
      </c>
      <c r="I109" s="8" t="s">
        <v>40</v>
      </c>
      <c r="J109" s="10">
        <v>2060</v>
      </c>
      <c r="K109" s="7" t="s">
        <v>723</v>
      </c>
      <c r="L109" s="11" t="s">
        <v>724</v>
      </c>
      <c r="M109" s="11" t="s">
        <v>725</v>
      </c>
      <c r="N109" s="11" t="s">
        <v>724</v>
      </c>
      <c r="O109" s="7" t="s">
        <v>27</v>
      </c>
      <c r="P109" s="8"/>
    </row>
    <row r="110" spans="1:16">
      <c r="A110" s="7">
        <v>109</v>
      </c>
      <c r="B110" s="8" t="s">
        <v>702</v>
      </c>
      <c r="C110" s="9" t="s">
        <v>726</v>
      </c>
      <c r="D110" s="8" t="s">
        <v>727</v>
      </c>
      <c r="E110" s="8" t="s">
        <v>728</v>
      </c>
      <c r="F110" s="7" t="s">
        <v>39</v>
      </c>
      <c r="G110" s="7" t="s">
        <v>21</v>
      </c>
      <c r="H110" s="8" t="s">
        <v>22</v>
      </c>
      <c r="I110" s="8" t="s">
        <v>102</v>
      </c>
      <c r="J110" s="10">
        <v>5797</v>
      </c>
      <c r="K110" s="7" t="s">
        <v>32</v>
      </c>
      <c r="L110" s="11" t="s">
        <v>729</v>
      </c>
      <c r="M110" s="11" t="s">
        <v>730</v>
      </c>
      <c r="N110" s="11" t="s">
        <v>731</v>
      </c>
      <c r="O110" s="7" t="s">
        <v>27</v>
      </c>
      <c r="P110" s="8" t="s">
        <v>732</v>
      </c>
    </row>
    <row r="111" spans="1:16">
      <c r="A111" s="7">
        <v>110</v>
      </c>
      <c r="B111" s="8" t="s">
        <v>702</v>
      </c>
      <c r="C111" s="9" t="s">
        <v>733</v>
      </c>
      <c r="D111" s="8" t="s">
        <v>734</v>
      </c>
      <c r="E111" s="8" t="s">
        <v>735</v>
      </c>
      <c r="F111" s="7" t="s">
        <v>206</v>
      </c>
      <c r="G111" s="7" t="s">
        <v>21</v>
      </c>
      <c r="H111" s="8" t="s">
        <v>22</v>
      </c>
      <c r="I111" s="8" t="s">
        <v>681</v>
      </c>
      <c r="J111" s="10">
        <v>4574</v>
      </c>
      <c r="K111" s="7" t="s">
        <v>395</v>
      </c>
      <c r="L111" s="11" t="s">
        <v>736</v>
      </c>
      <c r="M111" s="11" t="s">
        <v>737</v>
      </c>
      <c r="N111" s="11" t="s">
        <v>736</v>
      </c>
      <c r="O111" s="7" t="s">
        <v>27</v>
      </c>
      <c r="P111" s="8"/>
    </row>
    <row r="112" spans="1:16">
      <c r="A112" s="7">
        <v>111</v>
      </c>
      <c r="B112" s="8" t="s">
        <v>702</v>
      </c>
      <c r="C112" s="9" t="s">
        <v>738</v>
      </c>
      <c r="D112" s="8" t="s">
        <v>739</v>
      </c>
      <c r="E112" s="8" t="s">
        <v>740</v>
      </c>
      <c r="F112" s="7" t="s">
        <v>206</v>
      </c>
      <c r="G112" s="7" t="s">
        <v>21</v>
      </c>
      <c r="H112" s="8" t="s">
        <v>22</v>
      </c>
      <c r="I112" s="8" t="s">
        <v>40</v>
      </c>
      <c r="J112" s="10">
        <v>575</v>
      </c>
      <c r="K112" s="7" t="s">
        <v>741</v>
      </c>
      <c r="L112" s="11" t="s">
        <v>742</v>
      </c>
      <c r="M112" s="11" t="s">
        <v>743</v>
      </c>
      <c r="N112" s="11" t="s">
        <v>742</v>
      </c>
      <c r="O112" s="7" t="s">
        <v>27</v>
      </c>
      <c r="P112" s="8"/>
    </row>
    <row r="113" spans="1:16">
      <c r="A113" s="7">
        <v>112</v>
      </c>
      <c r="B113" s="8" t="s">
        <v>702</v>
      </c>
      <c r="C113" s="9" t="s">
        <v>744</v>
      </c>
      <c r="D113" s="8" t="s">
        <v>745</v>
      </c>
      <c r="E113" s="8" t="s">
        <v>746</v>
      </c>
      <c r="F113" s="7" t="s">
        <v>39</v>
      </c>
      <c r="G113" s="7" t="s">
        <v>21</v>
      </c>
      <c r="H113" s="8" t="s">
        <v>22</v>
      </c>
      <c r="I113" s="8" t="s">
        <v>40</v>
      </c>
      <c r="J113" s="10">
        <v>3175</v>
      </c>
      <c r="K113" s="7" t="s">
        <v>747</v>
      </c>
      <c r="L113" s="11" t="s">
        <v>748</v>
      </c>
      <c r="M113" s="11" t="s">
        <v>749</v>
      </c>
      <c r="N113" s="11" t="s">
        <v>748</v>
      </c>
      <c r="O113" s="7" t="s">
        <v>27</v>
      </c>
      <c r="P113" s="8"/>
    </row>
    <row r="114" spans="1:16" ht="27">
      <c r="A114" s="2">
        <v>113</v>
      </c>
      <c r="B114" s="3" t="s">
        <v>750</v>
      </c>
      <c r="C114" s="4" t="s">
        <v>751</v>
      </c>
      <c r="D114" s="3" t="s">
        <v>752</v>
      </c>
      <c r="E114" s="3" t="s">
        <v>753</v>
      </c>
      <c r="F114" s="2" t="s">
        <v>39</v>
      </c>
      <c r="G114" s="2" t="s">
        <v>21</v>
      </c>
      <c r="H114" s="3" t="s">
        <v>22</v>
      </c>
      <c r="I114" s="3" t="s">
        <v>40</v>
      </c>
      <c r="J114" s="5">
        <v>40396</v>
      </c>
      <c r="K114" s="2" t="s">
        <v>349</v>
      </c>
      <c r="L114" s="6" t="s">
        <v>754</v>
      </c>
      <c r="M114" s="6" t="s">
        <v>755</v>
      </c>
      <c r="N114" s="6" t="s">
        <v>756</v>
      </c>
      <c r="O114" s="2" t="s">
        <v>757</v>
      </c>
      <c r="P114" s="3" t="s">
        <v>758</v>
      </c>
    </row>
    <row r="115" spans="1:16">
      <c r="A115" s="2">
        <v>114</v>
      </c>
      <c r="B115" s="3" t="s">
        <v>750</v>
      </c>
      <c r="C115" s="4" t="s">
        <v>759</v>
      </c>
      <c r="D115" s="3" t="s">
        <v>760</v>
      </c>
      <c r="E115" s="3" t="s">
        <v>761</v>
      </c>
      <c r="F115" s="2" t="s">
        <v>20</v>
      </c>
      <c r="G115" s="2" t="s">
        <v>21</v>
      </c>
      <c r="H115" s="3" t="s">
        <v>22</v>
      </c>
      <c r="I115" s="3" t="s">
        <v>40</v>
      </c>
      <c r="J115" s="5">
        <v>1804</v>
      </c>
      <c r="K115" s="2" t="s">
        <v>23</v>
      </c>
      <c r="L115" s="6" t="s">
        <v>762</v>
      </c>
      <c r="M115" s="6" t="s">
        <v>763</v>
      </c>
      <c r="N115" s="6" t="s">
        <v>764</v>
      </c>
      <c r="O115" s="2" t="s">
        <v>27</v>
      </c>
      <c r="P115" s="3"/>
    </row>
    <row r="116" spans="1:16">
      <c r="A116" s="2">
        <v>115</v>
      </c>
      <c r="B116" s="3" t="s">
        <v>750</v>
      </c>
      <c r="C116" s="4" t="s">
        <v>765</v>
      </c>
      <c r="D116" s="3" t="s">
        <v>766</v>
      </c>
      <c r="E116" s="3" t="s">
        <v>767</v>
      </c>
      <c r="F116" s="2" t="s">
        <v>39</v>
      </c>
      <c r="G116" s="2" t="s">
        <v>21</v>
      </c>
      <c r="H116" s="3" t="s">
        <v>22</v>
      </c>
      <c r="I116" s="3" t="s">
        <v>768</v>
      </c>
      <c r="J116" s="5">
        <v>2347</v>
      </c>
      <c r="K116" s="2" t="s">
        <v>48</v>
      </c>
      <c r="L116" s="6" t="s">
        <v>769</v>
      </c>
      <c r="M116" s="6" t="s">
        <v>770</v>
      </c>
      <c r="N116" s="6" t="s">
        <v>771</v>
      </c>
      <c r="O116" s="2" t="s">
        <v>27</v>
      </c>
      <c r="P116" s="3"/>
    </row>
    <row r="117" spans="1:16">
      <c r="A117" s="2">
        <v>116</v>
      </c>
      <c r="B117" s="3" t="s">
        <v>750</v>
      </c>
      <c r="C117" s="4" t="s">
        <v>772</v>
      </c>
      <c r="D117" s="3" t="s">
        <v>773</v>
      </c>
      <c r="E117" s="3" t="s">
        <v>774</v>
      </c>
      <c r="F117" s="2" t="s">
        <v>39</v>
      </c>
      <c r="G117" s="2" t="s">
        <v>21</v>
      </c>
      <c r="H117" s="3" t="s">
        <v>22</v>
      </c>
      <c r="I117" s="3" t="s">
        <v>40</v>
      </c>
      <c r="J117" s="5">
        <v>6400</v>
      </c>
      <c r="K117" s="2" t="s">
        <v>23</v>
      </c>
      <c r="L117" s="6" t="s">
        <v>775</v>
      </c>
      <c r="M117" s="6" t="s">
        <v>775</v>
      </c>
      <c r="N117" s="6" t="s">
        <v>776</v>
      </c>
      <c r="O117" s="2" t="s">
        <v>27</v>
      </c>
      <c r="P117" s="3"/>
    </row>
    <row r="118" spans="1:16" ht="27">
      <c r="A118" s="2">
        <v>117</v>
      </c>
      <c r="B118" s="3" t="s">
        <v>750</v>
      </c>
      <c r="C118" s="4" t="s">
        <v>777</v>
      </c>
      <c r="D118" s="3" t="s">
        <v>778</v>
      </c>
      <c r="E118" s="3" t="s">
        <v>779</v>
      </c>
      <c r="F118" s="2" t="s">
        <v>20</v>
      </c>
      <c r="G118" s="2" t="s">
        <v>21</v>
      </c>
      <c r="H118" s="3" t="s">
        <v>22</v>
      </c>
      <c r="I118" s="3" t="s">
        <v>40</v>
      </c>
      <c r="J118" s="5">
        <v>4185</v>
      </c>
      <c r="K118" s="2" t="s">
        <v>23</v>
      </c>
      <c r="L118" s="6" t="s">
        <v>780</v>
      </c>
      <c r="M118" s="6" t="s">
        <v>781</v>
      </c>
      <c r="N118" s="6" t="s">
        <v>780</v>
      </c>
      <c r="O118" s="2" t="s">
        <v>27</v>
      </c>
      <c r="P118" s="3"/>
    </row>
    <row r="119" spans="1:16">
      <c r="A119" s="2">
        <v>118</v>
      </c>
      <c r="B119" s="3" t="s">
        <v>750</v>
      </c>
      <c r="C119" s="4" t="s">
        <v>782</v>
      </c>
      <c r="D119" s="3" t="s">
        <v>783</v>
      </c>
      <c r="E119" s="3" t="s">
        <v>784</v>
      </c>
      <c r="F119" s="2" t="s">
        <v>20</v>
      </c>
      <c r="G119" s="2" t="s">
        <v>21</v>
      </c>
      <c r="H119" s="3" t="s">
        <v>22</v>
      </c>
      <c r="I119" s="3" t="s">
        <v>40</v>
      </c>
      <c r="J119" s="5">
        <v>1072</v>
      </c>
      <c r="K119" s="2" t="s">
        <v>785</v>
      </c>
      <c r="L119" s="6" t="s">
        <v>786</v>
      </c>
      <c r="M119" s="6" t="s">
        <v>786</v>
      </c>
      <c r="N119" s="6" t="s">
        <v>787</v>
      </c>
      <c r="O119" s="2" t="s">
        <v>27</v>
      </c>
      <c r="P119" s="3"/>
    </row>
    <row r="120" spans="1:16">
      <c r="A120" s="2">
        <v>119</v>
      </c>
      <c r="B120" s="3" t="s">
        <v>750</v>
      </c>
      <c r="C120" s="4" t="s">
        <v>788</v>
      </c>
      <c r="D120" s="3" t="s">
        <v>789</v>
      </c>
      <c r="E120" s="3" t="s">
        <v>790</v>
      </c>
      <c r="F120" s="2" t="s">
        <v>39</v>
      </c>
      <c r="G120" s="2" t="s">
        <v>248</v>
      </c>
      <c r="H120" s="3" t="s">
        <v>791</v>
      </c>
      <c r="I120" s="3" t="s">
        <v>40</v>
      </c>
      <c r="J120" s="5">
        <v>9838</v>
      </c>
      <c r="K120" s="2" t="s">
        <v>792</v>
      </c>
      <c r="L120" s="6" t="s">
        <v>793</v>
      </c>
      <c r="M120" s="6" t="s">
        <v>793</v>
      </c>
      <c r="N120" s="6" t="s">
        <v>794</v>
      </c>
      <c r="O120" s="2" t="s">
        <v>27</v>
      </c>
      <c r="P120" s="3"/>
    </row>
    <row r="121" spans="1:16">
      <c r="A121" s="2">
        <v>120</v>
      </c>
      <c r="B121" s="3" t="s">
        <v>750</v>
      </c>
      <c r="C121" s="4" t="s">
        <v>795</v>
      </c>
      <c r="D121" s="3" t="s">
        <v>796</v>
      </c>
      <c r="E121" s="3" t="s">
        <v>797</v>
      </c>
      <c r="F121" s="2" t="s">
        <v>20</v>
      </c>
      <c r="G121" s="2" t="s">
        <v>248</v>
      </c>
      <c r="H121" s="3" t="s">
        <v>791</v>
      </c>
      <c r="I121" s="3" t="s">
        <v>681</v>
      </c>
      <c r="J121" s="5">
        <v>27005</v>
      </c>
      <c r="K121" s="2" t="s">
        <v>23</v>
      </c>
      <c r="L121" s="6" t="s">
        <v>798</v>
      </c>
      <c r="M121" s="6" t="s">
        <v>799</v>
      </c>
      <c r="N121" s="6" t="s">
        <v>800</v>
      </c>
      <c r="O121" s="2" t="s">
        <v>27</v>
      </c>
      <c r="P121" s="3"/>
    </row>
    <row r="122" spans="1:16">
      <c r="A122" s="2">
        <v>121</v>
      </c>
      <c r="B122" s="3" t="s">
        <v>750</v>
      </c>
      <c r="C122" s="4" t="s">
        <v>801</v>
      </c>
      <c r="D122" s="3" t="s">
        <v>802</v>
      </c>
      <c r="E122" s="3" t="s">
        <v>803</v>
      </c>
      <c r="F122" s="2" t="s">
        <v>39</v>
      </c>
      <c r="G122" s="2" t="s">
        <v>21</v>
      </c>
      <c r="H122" s="3" t="s">
        <v>22</v>
      </c>
      <c r="I122" s="3" t="s">
        <v>804</v>
      </c>
      <c r="J122" s="5">
        <v>2719</v>
      </c>
      <c r="K122" s="2" t="s">
        <v>805</v>
      </c>
      <c r="L122" s="6" t="s">
        <v>806</v>
      </c>
      <c r="M122" s="6" t="s">
        <v>807</v>
      </c>
      <c r="N122" s="6" t="s">
        <v>808</v>
      </c>
      <c r="O122" s="2" t="s">
        <v>27</v>
      </c>
      <c r="P122" s="3"/>
    </row>
    <row r="123" spans="1:16" ht="27">
      <c r="A123" s="2">
        <v>122</v>
      </c>
      <c r="B123" s="3" t="s">
        <v>750</v>
      </c>
      <c r="C123" s="4" t="s">
        <v>809</v>
      </c>
      <c r="D123" s="3" t="s">
        <v>810</v>
      </c>
      <c r="E123" s="3" t="s">
        <v>811</v>
      </c>
      <c r="F123" s="2" t="s">
        <v>20</v>
      </c>
      <c r="G123" s="2" t="s">
        <v>21</v>
      </c>
      <c r="H123" s="3" t="s">
        <v>22</v>
      </c>
      <c r="I123" s="3" t="s">
        <v>681</v>
      </c>
      <c r="J123" s="5">
        <v>8716</v>
      </c>
      <c r="K123" s="2" t="s">
        <v>812</v>
      </c>
      <c r="L123" s="6" t="s">
        <v>813</v>
      </c>
      <c r="M123" s="6" t="s">
        <v>814</v>
      </c>
      <c r="N123" s="6" t="s">
        <v>813</v>
      </c>
      <c r="O123" s="2" t="s">
        <v>27</v>
      </c>
      <c r="P123" s="3"/>
    </row>
    <row r="124" spans="1:16" ht="27">
      <c r="A124" s="2">
        <v>123</v>
      </c>
      <c r="B124" s="3" t="s">
        <v>750</v>
      </c>
      <c r="C124" s="4" t="s">
        <v>815</v>
      </c>
      <c r="D124" s="3" t="s">
        <v>816</v>
      </c>
      <c r="E124" s="3" t="s">
        <v>817</v>
      </c>
      <c r="F124" s="2" t="s">
        <v>39</v>
      </c>
      <c r="G124" s="2" t="s">
        <v>110</v>
      </c>
      <c r="H124" s="3" t="s">
        <v>240</v>
      </c>
      <c r="I124" s="3" t="s">
        <v>40</v>
      </c>
      <c r="J124" s="5">
        <v>12449</v>
      </c>
      <c r="K124" s="2" t="s">
        <v>818</v>
      </c>
      <c r="L124" s="6" t="s">
        <v>819</v>
      </c>
      <c r="M124" s="6" t="s">
        <v>820</v>
      </c>
      <c r="N124" s="6" t="s">
        <v>821</v>
      </c>
      <c r="O124" s="2" t="s">
        <v>27</v>
      </c>
      <c r="P124" s="3"/>
    </row>
    <row r="125" spans="1:16">
      <c r="A125" s="2">
        <v>124</v>
      </c>
      <c r="B125" s="3" t="s">
        <v>750</v>
      </c>
      <c r="C125" s="4" t="s">
        <v>822</v>
      </c>
      <c r="D125" s="3" t="s">
        <v>823</v>
      </c>
      <c r="E125" s="3" t="s">
        <v>824</v>
      </c>
      <c r="F125" s="2" t="s">
        <v>206</v>
      </c>
      <c r="G125" s="2" t="s">
        <v>248</v>
      </c>
      <c r="H125" s="3" t="s">
        <v>825</v>
      </c>
      <c r="I125" s="3" t="s">
        <v>40</v>
      </c>
      <c r="J125" s="5">
        <v>7326</v>
      </c>
      <c r="K125" s="2" t="s">
        <v>23</v>
      </c>
      <c r="L125" s="6" t="s">
        <v>826</v>
      </c>
      <c r="M125" s="6" t="s">
        <v>826</v>
      </c>
      <c r="N125" s="6" t="s">
        <v>827</v>
      </c>
      <c r="O125" s="2" t="s">
        <v>27</v>
      </c>
      <c r="P125" s="3"/>
    </row>
    <row r="126" spans="1:16">
      <c r="A126" s="2">
        <v>125</v>
      </c>
      <c r="B126" s="3" t="s">
        <v>750</v>
      </c>
      <c r="C126" s="4" t="s">
        <v>828</v>
      </c>
      <c r="D126" s="3" t="s">
        <v>829</v>
      </c>
      <c r="E126" s="3" t="s">
        <v>830</v>
      </c>
      <c r="F126" s="2" t="s">
        <v>20</v>
      </c>
      <c r="G126" s="2" t="s">
        <v>21</v>
      </c>
      <c r="H126" s="3" t="s">
        <v>22</v>
      </c>
      <c r="I126" s="3" t="s">
        <v>40</v>
      </c>
      <c r="J126" s="5">
        <v>793</v>
      </c>
      <c r="K126" s="2" t="s">
        <v>23</v>
      </c>
      <c r="L126" s="6" t="s">
        <v>831</v>
      </c>
      <c r="M126" s="6" t="s">
        <v>832</v>
      </c>
      <c r="N126" s="6" t="s">
        <v>831</v>
      </c>
      <c r="O126" s="2" t="s">
        <v>27</v>
      </c>
      <c r="P126" s="3"/>
    </row>
    <row r="127" spans="1:16">
      <c r="A127" s="2">
        <v>126</v>
      </c>
      <c r="B127" s="3" t="s">
        <v>750</v>
      </c>
      <c r="C127" s="4" t="s">
        <v>833</v>
      </c>
      <c r="D127" s="3" t="s">
        <v>834</v>
      </c>
      <c r="E127" s="3" t="s">
        <v>835</v>
      </c>
      <c r="F127" s="2" t="s">
        <v>20</v>
      </c>
      <c r="G127" s="2" t="s">
        <v>21</v>
      </c>
      <c r="H127" s="3" t="s">
        <v>22</v>
      </c>
      <c r="I127" s="3" t="s">
        <v>207</v>
      </c>
      <c r="J127" s="5">
        <v>451</v>
      </c>
      <c r="K127" s="2" t="s">
        <v>836</v>
      </c>
      <c r="L127" s="6" t="s">
        <v>837</v>
      </c>
      <c r="M127" s="6" t="s">
        <v>837</v>
      </c>
      <c r="N127" s="6" t="s">
        <v>838</v>
      </c>
      <c r="O127" s="2" t="s">
        <v>27</v>
      </c>
      <c r="P127" s="3"/>
    </row>
    <row r="128" spans="1:16" ht="27">
      <c r="A128" s="7">
        <v>127</v>
      </c>
      <c r="B128" s="8" t="s">
        <v>839</v>
      </c>
      <c r="C128" s="9" t="s">
        <v>840</v>
      </c>
      <c r="D128" s="8" t="s">
        <v>841</v>
      </c>
      <c r="E128" s="8" t="s">
        <v>842</v>
      </c>
      <c r="F128" s="7" t="s">
        <v>206</v>
      </c>
      <c r="G128" s="7" t="s">
        <v>21</v>
      </c>
      <c r="H128" s="8" t="s">
        <v>22</v>
      </c>
      <c r="I128" s="8" t="s">
        <v>567</v>
      </c>
      <c r="J128" s="10">
        <v>113786</v>
      </c>
      <c r="K128" s="7" t="s">
        <v>843</v>
      </c>
      <c r="L128" s="11" t="s">
        <v>844</v>
      </c>
      <c r="M128" s="11" t="s">
        <v>845</v>
      </c>
      <c r="N128" s="11" t="s">
        <v>846</v>
      </c>
      <c r="O128" s="7" t="s">
        <v>27</v>
      </c>
      <c r="P128" s="8"/>
    </row>
    <row r="129" spans="1:16" ht="27">
      <c r="A129" s="7">
        <v>128</v>
      </c>
      <c r="B129" s="8" t="s">
        <v>839</v>
      </c>
      <c r="C129" s="9" t="s">
        <v>847</v>
      </c>
      <c r="D129" s="8" t="s">
        <v>848</v>
      </c>
      <c r="E129" s="8" t="s">
        <v>849</v>
      </c>
      <c r="F129" s="7" t="s">
        <v>20</v>
      </c>
      <c r="G129" s="7" t="s">
        <v>21</v>
      </c>
      <c r="H129" s="8" t="s">
        <v>22</v>
      </c>
      <c r="I129" s="8" t="s">
        <v>40</v>
      </c>
      <c r="J129" s="10">
        <v>67728</v>
      </c>
      <c r="K129" s="7" t="s">
        <v>48</v>
      </c>
      <c r="L129" s="11" t="s">
        <v>850</v>
      </c>
      <c r="M129" s="11" t="s">
        <v>851</v>
      </c>
      <c r="N129" s="11" t="s">
        <v>852</v>
      </c>
      <c r="O129" s="7" t="s">
        <v>27</v>
      </c>
      <c r="P129" s="8"/>
    </row>
    <row r="130" spans="1:16" ht="27">
      <c r="A130" s="7">
        <v>129</v>
      </c>
      <c r="B130" s="8" t="s">
        <v>839</v>
      </c>
      <c r="C130" s="9" t="s">
        <v>853</v>
      </c>
      <c r="D130" s="8" t="s">
        <v>854</v>
      </c>
      <c r="E130" s="8" t="s">
        <v>855</v>
      </c>
      <c r="F130" s="7" t="s">
        <v>20</v>
      </c>
      <c r="G130" s="7" t="s">
        <v>21</v>
      </c>
      <c r="H130" s="8" t="s">
        <v>22</v>
      </c>
      <c r="I130" s="8" t="s">
        <v>102</v>
      </c>
      <c r="J130" s="10">
        <v>67422</v>
      </c>
      <c r="K130" s="7" t="s">
        <v>23</v>
      </c>
      <c r="L130" s="11" t="s">
        <v>856</v>
      </c>
      <c r="M130" s="11" t="s">
        <v>857</v>
      </c>
      <c r="N130" s="11" t="s">
        <v>858</v>
      </c>
      <c r="O130" s="7" t="s">
        <v>27</v>
      </c>
      <c r="P130" s="8"/>
    </row>
    <row r="131" spans="1:16" ht="27">
      <c r="A131" s="7">
        <v>130</v>
      </c>
      <c r="B131" s="8" t="s">
        <v>839</v>
      </c>
      <c r="C131" s="9" t="s">
        <v>859</v>
      </c>
      <c r="D131" s="8" t="s">
        <v>860</v>
      </c>
      <c r="E131" s="8" t="s">
        <v>861</v>
      </c>
      <c r="F131" s="7" t="s">
        <v>20</v>
      </c>
      <c r="G131" s="7" t="s">
        <v>21</v>
      </c>
      <c r="H131" s="8" t="s">
        <v>22</v>
      </c>
      <c r="I131" s="8" t="s">
        <v>40</v>
      </c>
      <c r="J131" s="10">
        <v>18351</v>
      </c>
      <c r="K131" s="7" t="s">
        <v>23</v>
      </c>
      <c r="L131" s="11" t="s">
        <v>862</v>
      </c>
      <c r="M131" s="11" t="s">
        <v>863</v>
      </c>
      <c r="N131" s="11" t="s">
        <v>864</v>
      </c>
      <c r="O131" s="7" t="s">
        <v>27</v>
      </c>
      <c r="P131" s="8"/>
    </row>
    <row r="132" spans="1:16" ht="27">
      <c r="A132" s="7">
        <v>131</v>
      </c>
      <c r="B132" s="8" t="s">
        <v>839</v>
      </c>
      <c r="C132" s="9" t="s">
        <v>865</v>
      </c>
      <c r="D132" s="8" t="s">
        <v>866</v>
      </c>
      <c r="E132" s="8" t="s">
        <v>867</v>
      </c>
      <c r="F132" s="7" t="s">
        <v>20</v>
      </c>
      <c r="G132" s="7" t="s">
        <v>248</v>
      </c>
      <c r="H132" s="8" t="s">
        <v>22</v>
      </c>
      <c r="I132" s="8" t="s">
        <v>868</v>
      </c>
      <c r="J132" s="10">
        <v>12494</v>
      </c>
      <c r="K132" s="7" t="s">
        <v>23</v>
      </c>
      <c r="L132" s="11" t="s">
        <v>869</v>
      </c>
      <c r="M132" s="11" t="s">
        <v>870</v>
      </c>
      <c r="N132" s="11" t="s">
        <v>871</v>
      </c>
      <c r="O132" s="7" t="s">
        <v>27</v>
      </c>
      <c r="P132" s="8"/>
    </row>
    <row r="133" spans="1:16" ht="27">
      <c r="A133" s="7">
        <v>132</v>
      </c>
      <c r="B133" s="8" t="s">
        <v>839</v>
      </c>
      <c r="C133" s="9" t="s">
        <v>872</v>
      </c>
      <c r="D133" s="8" t="s">
        <v>873</v>
      </c>
      <c r="E133" s="8" t="s">
        <v>874</v>
      </c>
      <c r="F133" s="7" t="s">
        <v>20</v>
      </c>
      <c r="G133" s="7" t="s">
        <v>21</v>
      </c>
      <c r="H133" s="8" t="s">
        <v>55</v>
      </c>
      <c r="I133" s="8" t="s">
        <v>681</v>
      </c>
      <c r="J133" s="10">
        <v>15165</v>
      </c>
      <c r="K133" s="7" t="s">
        <v>23</v>
      </c>
      <c r="L133" s="11" t="s">
        <v>875</v>
      </c>
      <c r="M133" s="11" t="s">
        <v>876</v>
      </c>
      <c r="N133" s="11" t="s">
        <v>877</v>
      </c>
      <c r="O133" s="7" t="s">
        <v>27</v>
      </c>
      <c r="P133" s="8"/>
    </row>
    <row r="134" spans="1:16" ht="27">
      <c r="A134" s="7">
        <v>133</v>
      </c>
      <c r="B134" s="8" t="s">
        <v>839</v>
      </c>
      <c r="C134" s="9" t="s">
        <v>878</v>
      </c>
      <c r="D134" s="8" t="s">
        <v>879</v>
      </c>
      <c r="E134" s="8" t="s">
        <v>880</v>
      </c>
      <c r="F134" s="7" t="s">
        <v>20</v>
      </c>
      <c r="G134" s="7" t="s">
        <v>110</v>
      </c>
      <c r="H134" s="8" t="s">
        <v>180</v>
      </c>
      <c r="I134" s="8" t="s">
        <v>40</v>
      </c>
      <c r="J134" s="10">
        <v>27605</v>
      </c>
      <c r="K134" s="7" t="s">
        <v>23</v>
      </c>
      <c r="L134" s="11" t="s">
        <v>881</v>
      </c>
      <c r="M134" s="11" t="s">
        <v>882</v>
      </c>
      <c r="N134" s="11" t="s">
        <v>883</v>
      </c>
      <c r="O134" s="7" t="s">
        <v>27</v>
      </c>
      <c r="P134" s="8"/>
    </row>
    <row r="135" spans="1:16" ht="27">
      <c r="A135" s="7">
        <v>134</v>
      </c>
      <c r="B135" s="8" t="s">
        <v>839</v>
      </c>
      <c r="C135" s="9" t="s">
        <v>884</v>
      </c>
      <c r="D135" s="8" t="s">
        <v>885</v>
      </c>
      <c r="E135" s="8" t="s">
        <v>886</v>
      </c>
      <c r="F135" s="7" t="s">
        <v>20</v>
      </c>
      <c r="G135" s="7" t="s">
        <v>110</v>
      </c>
      <c r="H135" s="8" t="s">
        <v>180</v>
      </c>
      <c r="I135" s="8" t="s">
        <v>40</v>
      </c>
      <c r="J135" s="10">
        <v>14105</v>
      </c>
      <c r="K135" s="7" t="s">
        <v>887</v>
      </c>
      <c r="L135" s="11" t="s">
        <v>888</v>
      </c>
      <c r="M135" s="11" t="s">
        <v>888</v>
      </c>
      <c r="N135" s="11" t="s">
        <v>889</v>
      </c>
      <c r="O135" s="7" t="s">
        <v>27</v>
      </c>
      <c r="P135" s="8"/>
    </row>
    <row r="136" spans="1:16" ht="27">
      <c r="A136" s="7">
        <v>135</v>
      </c>
      <c r="B136" s="8" t="s">
        <v>839</v>
      </c>
      <c r="C136" s="9" t="s">
        <v>890</v>
      </c>
      <c r="D136" s="8" t="s">
        <v>891</v>
      </c>
      <c r="E136" s="8" t="s">
        <v>892</v>
      </c>
      <c r="F136" s="7" t="s">
        <v>20</v>
      </c>
      <c r="G136" s="7" t="s">
        <v>110</v>
      </c>
      <c r="H136" s="8" t="s">
        <v>180</v>
      </c>
      <c r="I136" s="8" t="s">
        <v>40</v>
      </c>
      <c r="J136" s="10">
        <v>11239</v>
      </c>
      <c r="K136" s="7" t="s">
        <v>893</v>
      </c>
      <c r="L136" s="11" t="s">
        <v>894</v>
      </c>
      <c r="M136" s="11" t="s">
        <v>894</v>
      </c>
      <c r="N136" s="11" t="s">
        <v>895</v>
      </c>
      <c r="O136" s="7" t="s">
        <v>27</v>
      </c>
      <c r="P136" s="8"/>
    </row>
    <row r="137" spans="1:16" ht="27">
      <c r="A137" s="7">
        <v>136</v>
      </c>
      <c r="B137" s="8" t="s">
        <v>839</v>
      </c>
      <c r="C137" s="9" t="s">
        <v>896</v>
      </c>
      <c r="D137" s="8" t="s">
        <v>897</v>
      </c>
      <c r="E137" s="8" t="s">
        <v>898</v>
      </c>
      <c r="F137" s="7" t="s">
        <v>20</v>
      </c>
      <c r="G137" s="7" t="s">
        <v>21</v>
      </c>
      <c r="H137" s="8" t="s">
        <v>22</v>
      </c>
      <c r="I137" s="8" t="s">
        <v>804</v>
      </c>
      <c r="J137" s="10">
        <v>5499</v>
      </c>
      <c r="K137" s="7" t="s">
        <v>23</v>
      </c>
      <c r="L137" s="11" t="s">
        <v>899</v>
      </c>
      <c r="M137" s="11" t="s">
        <v>900</v>
      </c>
      <c r="N137" s="11" t="s">
        <v>901</v>
      </c>
      <c r="O137" s="7" t="s">
        <v>27</v>
      </c>
      <c r="P137" s="8"/>
    </row>
    <row r="138" spans="1:16" ht="27">
      <c r="A138" s="7">
        <v>137</v>
      </c>
      <c r="B138" s="8" t="s">
        <v>839</v>
      </c>
      <c r="C138" s="9" t="s">
        <v>902</v>
      </c>
      <c r="D138" s="8" t="s">
        <v>903</v>
      </c>
      <c r="E138" s="8" t="s">
        <v>904</v>
      </c>
      <c r="F138" s="7" t="s">
        <v>20</v>
      </c>
      <c r="G138" s="7" t="s">
        <v>21</v>
      </c>
      <c r="H138" s="8" t="s">
        <v>22</v>
      </c>
      <c r="I138" s="8" t="s">
        <v>567</v>
      </c>
      <c r="J138" s="10">
        <v>5397</v>
      </c>
      <c r="K138" s="7" t="s">
        <v>905</v>
      </c>
      <c r="L138" s="11" t="s">
        <v>906</v>
      </c>
      <c r="M138" s="11" t="s">
        <v>907</v>
      </c>
      <c r="N138" s="11" t="s">
        <v>908</v>
      </c>
      <c r="O138" s="7" t="s">
        <v>27</v>
      </c>
      <c r="P138" s="8"/>
    </row>
    <row r="139" spans="1:16" ht="27">
      <c r="A139" s="7">
        <v>138</v>
      </c>
      <c r="B139" s="8" t="s">
        <v>839</v>
      </c>
      <c r="C139" s="9" t="s">
        <v>909</v>
      </c>
      <c r="D139" s="8" t="s">
        <v>910</v>
      </c>
      <c r="E139" s="8" t="s">
        <v>911</v>
      </c>
      <c r="F139" s="7" t="s">
        <v>39</v>
      </c>
      <c r="G139" s="7" t="s">
        <v>21</v>
      </c>
      <c r="H139" s="8" t="s">
        <v>22</v>
      </c>
      <c r="I139" s="8" t="s">
        <v>40</v>
      </c>
      <c r="J139" s="10">
        <v>12627</v>
      </c>
      <c r="K139" s="7" t="s">
        <v>193</v>
      </c>
      <c r="L139" s="11" t="s">
        <v>912</v>
      </c>
      <c r="M139" s="11" t="s">
        <v>913</v>
      </c>
      <c r="N139" s="11" t="s">
        <v>914</v>
      </c>
      <c r="O139" s="7" t="s">
        <v>27</v>
      </c>
      <c r="P139" s="8"/>
    </row>
    <row r="140" spans="1:16" ht="27">
      <c r="A140" s="7">
        <v>139</v>
      </c>
      <c r="B140" s="8" t="s">
        <v>839</v>
      </c>
      <c r="C140" s="9" t="s">
        <v>915</v>
      </c>
      <c r="D140" s="8" t="s">
        <v>916</v>
      </c>
      <c r="E140" s="8" t="s">
        <v>917</v>
      </c>
      <c r="F140" s="7" t="s">
        <v>20</v>
      </c>
      <c r="G140" s="7" t="s">
        <v>21</v>
      </c>
      <c r="H140" s="8" t="s">
        <v>22</v>
      </c>
      <c r="I140" s="8" t="s">
        <v>40</v>
      </c>
      <c r="J140" s="10">
        <v>6013</v>
      </c>
      <c r="K140" s="7" t="s">
        <v>23</v>
      </c>
      <c r="L140" s="11" t="s">
        <v>918</v>
      </c>
      <c r="M140" s="11" t="s">
        <v>919</v>
      </c>
      <c r="N140" s="11" t="s">
        <v>920</v>
      </c>
      <c r="O140" s="7" t="s">
        <v>27</v>
      </c>
      <c r="P140" s="8"/>
    </row>
    <row r="141" spans="1:16" ht="27">
      <c r="A141" s="7">
        <v>140</v>
      </c>
      <c r="B141" s="8" t="s">
        <v>839</v>
      </c>
      <c r="C141" s="9" t="s">
        <v>921</v>
      </c>
      <c r="D141" s="8" t="s">
        <v>922</v>
      </c>
      <c r="E141" s="8" t="s">
        <v>923</v>
      </c>
      <c r="F141" s="7" t="s">
        <v>39</v>
      </c>
      <c r="G141" s="7" t="s">
        <v>21</v>
      </c>
      <c r="H141" s="8" t="s">
        <v>22</v>
      </c>
      <c r="I141" s="8" t="s">
        <v>40</v>
      </c>
      <c r="J141" s="10">
        <v>10522</v>
      </c>
      <c r="K141" s="7" t="s">
        <v>522</v>
      </c>
      <c r="L141" s="11" t="s">
        <v>924</v>
      </c>
      <c r="M141" s="11" t="s">
        <v>925</v>
      </c>
      <c r="N141" s="11" t="s">
        <v>924</v>
      </c>
      <c r="O141" s="7" t="s">
        <v>27</v>
      </c>
      <c r="P141" s="8"/>
    </row>
    <row r="142" spans="1:16" ht="27">
      <c r="A142" s="7">
        <v>141</v>
      </c>
      <c r="B142" s="8" t="s">
        <v>839</v>
      </c>
      <c r="C142" s="9" t="s">
        <v>926</v>
      </c>
      <c r="D142" s="8" t="s">
        <v>927</v>
      </c>
      <c r="E142" s="8" t="s">
        <v>928</v>
      </c>
      <c r="F142" s="7" t="s">
        <v>39</v>
      </c>
      <c r="G142" s="7" t="s">
        <v>21</v>
      </c>
      <c r="H142" s="8" t="s">
        <v>22</v>
      </c>
      <c r="I142" s="8" t="s">
        <v>102</v>
      </c>
      <c r="J142" s="10">
        <v>17399</v>
      </c>
      <c r="K142" s="7" t="s">
        <v>23</v>
      </c>
      <c r="L142" s="11" t="s">
        <v>929</v>
      </c>
      <c r="M142" s="11" t="s">
        <v>930</v>
      </c>
      <c r="N142" s="11" t="s">
        <v>931</v>
      </c>
      <c r="O142" s="7" t="s">
        <v>27</v>
      </c>
      <c r="P142" s="8"/>
    </row>
    <row r="143" spans="1:16" ht="27">
      <c r="A143" s="7">
        <v>142</v>
      </c>
      <c r="B143" s="8" t="s">
        <v>839</v>
      </c>
      <c r="C143" s="9" t="s">
        <v>932</v>
      </c>
      <c r="D143" s="8" t="s">
        <v>933</v>
      </c>
      <c r="E143" s="8" t="s">
        <v>934</v>
      </c>
      <c r="F143" s="7" t="s">
        <v>20</v>
      </c>
      <c r="G143" s="7" t="s">
        <v>21</v>
      </c>
      <c r="H143" s="8" t="s">
        <v>22</v>
      </c>
      <c r="I143" s="8" t="s">
        <v>40</v>
      </c>
      <c r="J143" s="10">
        <v>15085</v>
      </c>
      <c r="K143" s="7" t="s">
        <v>935</v>
      </c>
      <c r="L143" s="11" t="s">
        <v>936</v>
      </c>
      <c r="M143" s="11" t="s">
        <v>936</v>
      </c>
      <c r="N143" s="11" t="s">
        <v>937</v>
      </c>
      <c r="O143" s="7" t="s">
        <v>27</v>
      </c>
      <c r="P143" s="8"/>
    </row>
    <row r="144" spans="1:16" ht="27">
      <c r="A144" s="7">
        <v>143</v>
      </c>
      <c r="B144" s="8" t="s">
        <v>839</v>
      </c>
      <c r="C144" s="9" t="s">
        <v>938</v>
      </c>
      <c r="D144" s="8" t="s">
        <v>939</v>
      </c>
      <c r="E144" s="8" t="s">
        <v>940</v>
      </c>
      <c r="F144" s="7" t="s">
        <v>20</v>
      </c>
      <c r="G144" s="7" t="s">
        <v>248</v>
      </c>
      <c r="H144" s="8" t="s">
        <v>22</v>
      </c>
      <c r="I144" s="8" t="s">
        <v>941</v>
      </c>
      <c r="J144" s="10">
        <v>446</v>
      </c>
      <c r="K144" s="7" t="s">
        <v>56</v>
      </c>
      <c r="L144" s="11" t="s">
        <v>942</v>
      </c>
      <c r="M144" s="11" t="s">
        <v>943</v>
      </c>
      <c r="N144" s="11" t="s">
        <v>944</v>
      </c>
      <c r="O144" s="7" t="s">
        <v>27</v>
      </c>
      <c r="P144" s="8"/>
    </row>
    <row r="145" spans="1:16" ht="27">
      <c r="A145" s="7">
        <v>144</v>
      </c>
      <c r="B145" s="8" t="s">
        <v>839</v>
      </c>
      <c r="C145" s="9" t="s">
        <v>945</v>
      </c>
      <c r="D145" s="8" t="s">
        <v>946</v>
      </c>
      <c r="E145" s="8" t="s">
        <v>947</v>
      </c>
      <c r="F145" s="7" t="s">
        <v>20</v>
      </c>
      <c r="G145" s="7" t="s">
        <v>21</v>
      </c>
      <c r="H145" s="8" t="s">
        <v>22</v>
      </c>
      <c r="I145" s="8" t="s">
        <v>40</v>
      </c>
      <c r="J145" s="10">
        <v>8162</v>
      </c>
      <c r="K145" s="7" t="s">
        <v>948</v>
      </c>
      <c r="L145" s="11" t="s">
        <v>949</v>
      </c>
      <c r="M145" s="11" t="s">
        <v>949</v>
      </c>
      <c r="N145" s="11" t="s">
        <v>950</v>
      </c>
      <c r="O145" s="7" t="s">
        <v>27</v>
      </c>
      <c r="P145" s="8"/>
    </row>
    <row r="146" spans="1:16" ht="27">
      <c r="A146" s="7">
        <v>145</v>
      </c>
      <c r="B146" s="8" t="s">
        <v>839</v>
      </c>
      <c r="C146" s="9" t="s">
        <v>951</v>
      </c>
      <c r="D146" s="8" t="s">
        <v>952</v>
      </c>
      <c r="E146" s="8" t="s">
        <v>953</v>
      </c>
      <c r="F146" s="7" t="s">
        <v>20</v>
      </c>
      <c r="G146" s="7" t="s">
        <v>21</v>
      </c>
      <c r="H146" s="8" t="s">
        <v>22</v>
      </c>
      <c r="I146" s="8" t="s">
        <v>40</v>
      </c>
      <c r="J146" s="10">
        <v>7289</v>
      </c>
      <c r="K146" s="7" t="s">
        <v>954</v>
      </c>
      <c r="L146" s="11" t="s">
        <v>955</v>
      </c>
      <c r="M146" s="11" t="s">
        <v>956</v>
      </c>
      <c r="N146" s="11" t="s">
        <v>957</v>
      </c>
      <c r="O146" s="7" t="s">
        <v>27</v>
      </c>
      <c r="P146" s="8" t="s">
        <v>577</v>
      </c>
    </row>
    <row r="147" spans="1:16" ht="27">
      <c r="A147" s="7">
        <v>146</v>
      </c>
      <c r="B147" s="8" t="s">
        <v>839</v>
      </c>
      <c r="C147" s="9" t="s">
        <v>958</v>
      </c>
      <c r="D147" s="8" t="s">
        <v>959</v>
      </c>
      <c r="E147" s="8" t="s">
        <v>960</v>
      </c>
      <c r="F147" s="7" t="s">
        <v>20</v>
      </c>
      <c r="G147" s="7" t="s">
        <v>21</v>
      </c>
      <c r="H147" s="8" t="s">
        <v>22</v>
      </c>
      <c r="I147" s="8" t="s">
        <v>40</v>
      </c>
      <c r="J147" s="10">
        <v>2498</v>
      </c>
      <c r="K147" s="7" t="s">
        <v>961</v>
      </c>
      <c r="L147" s="11" t="s">
        <v>962</v>
      </c>
      <c r="M147" s="11" t="s">
        <v>962</v>
      </c>
      <c r="N147" s="11" t="s">
        <v>963</v>
      </c>
      <c r="O147" s="7" t="s">
        <v>27</v>
      </c>
      <c r="P147" s="8"/>
    </row>
    <row r="148" spans="1:16" ht="27">
      <c r="A148" s="7">
        <v>147</v>
      </c>
      <c r="B148" s="8" t="s">
        <v>839</v>
      </c>
      <c r="C148" s="9" t="s">
        <v>964</v>
      </c>
      <c r="D148" s="8" t="s">
        <v>965</v>
      </c>
      <c r="E148" s="8" t="s">
        <v>966</v>
      </c>
      <c r="F148" s="7" t="s">
        <v>20</v>
      </c>
      <c r="G148" s="7" t="s">
        <v>21</v>
      </c>
      <c r="H148" s="8" t="s">
        <v>22</v>
      </c>
      <c r="I148" s="8" t="s">
        <v>40</v>
      </c>
      <c r="J148" s="10">
        <v>6385</v>
      </c>
      <c r="K148" s="7" t="s">
        <v>967</v>
      </c>
      <c r="L148" s="11" t="s">
        <v>968</v>
      </c>
      <c r="M148" s="11" t="s">
        <v>969</v>
      </c>
      <c r="N148" s="11" t="s">
        <v>970</v>
      </c>
      <c r="O148" s="7" t="s">
        <v>27</v>
      </c>
      <c r="P148" s="8"/>
    </row>
    <row r="149" spans="1:16" ht="27">
      <c r="A149" s="7">
        <v>148</v>
      </c>
      <c r="B149" s="8" t="s">
        <v>839</v>
      </c>
      <c r="C149" s="9" t="s">
        <v>971</v>
      </c>
      <c r="D149" s="8" t="s">
        <v>972</v>
      </c>
      <c r="E149" s="8" t="s">
        <v>973</v>
      </c>
      <c r="F149" s="7" t="s">
        <v>20</v>
      </c>
      <c r="G149" s="7" t="s">
        <v>21</v>
      </c>
      <c r="H149" s="8" t="s">
        <v>974</v>
      </c>
      <c r="I149" s="8" t="s">
        <v>975</v>
      </c>
      <c r="J149" s="10">
        <v>3223</v>
      </c>
      <c r="K149" s="7" t="s">
        <v>395</v>
      </c>
      <c r="L149" s="11" t="s">
        <v>976</v>
      </c>
      <c r="M149" s="11" t="s">
        <v>976</v>
      </c>
      <c r="N149" s="11" t="s">
        <v>977</v>
      </c>
      <c r="O149" s="7" t="s">
        <v>27</v>
      </c>
      <c r="P149" s="8"/>
    </row>
    <row r="150" spans="1:16" ht="27">
      <c r="A150" s="7">
        <v>149</v>
      </c>
      <c r="B150" s="8" t="s">
        <v>839</v>
      </c>
      <c r="C150" s="9" t="s">
        <v>978</v>
      </c>
      <c r="D150" s="8" t="s">
        <v>979</v>
      </c>
      <c r="E150" s="8" t="s">
        <v>980</v>
      </c>
      <c r="F150" s="7" t="s">
        <v>20</v>
      </c>
      <c r="G150" s="7" t="s">
        <v>21</v>
      </c>
      <c r="H150" s="8" t="s">
        <v>22</v>
      </c>
      <c r="I150" s="8" t="s">
        <v>40</v>
      </c>
      <c r="J150" s="10">
        <v>7776</v>
      </c>
      <c r="K150" s="7" t="s">
        <v>23</v>
      </c>
      <c r="L150" s="11" t="s">
        <v>981</v>
      </c>
      <c r="M150" s="11" t="s">
        <v>982</v>
      </c>
      <c r="N150" s="11" t="s">
        <v>983</v>
      </c>
      <c r="O150" s="7" t="s">
        <v>27</v>
      </c>
      <c r="P150" s="8"/>
    </row>
    <row r="151" spans="1:16" ht="27">
      <c r="A151" s="7">
        <v>150</v>
      </c>
      <c r="B151" s="8" t="s">
        <v>839</v>
      </c>
      <c r="C151" s="9" t="s">
        <v>984</v>
      </c>
      <c r="D151" s="8" t="s">
        <v>985</v>
      </c>
      <c r="E151" s="8" t="s">
        <v>986</v>
      </c>
      <c r="F151" s="7" t="s">
        <v>39</v>
      </c>
      <c r="G151" s="7" t="s">
        <v>110</v>
      </c>
      <c r="H151" s="8" t="s">
        <v>55</v>
      </c>
      <c r="I151" s="8" t="s">
        <v>987</v>
      </c>
      <c r="J151" s="10">
        <v>15621</v>
      </c>
      <c r="K151" s="7" t="s">
        <v>23</v>
      </c>
      <c r="L151" s="11" t="s">
        <v>988</v>
      </c>
      <c r="M151" s="11" t="s">
        <v>989</v>
      </c>
      <c r="N151" s="11" t="s">
        <v>990</v>
      </c>
      <c r="O151" s="7" t="s">
        <v>27</v>
      </c>
      <c r="P151" s="8"/>
    </row>
    <row r="152" spans="1:16" ht="27">
      <c r="A152" s="7">
        <v>151</v>
      </c>
      <c r="B152" s="8" t="s">
        <v>839</v>
      </c>
      <c r="C152" s="9" t="s">
        <v>991</v>
      </c>
      <c r="D152" s="8" t="s">
        <v>992</v>
      </c>
      <c r="E152" s="8" t="s">
        <v>993</v>
      </c>
      <c r="F152" s="7" t="s">
        <v>20</v>
      </c>
      <c r="G152" s="7" t="s">
        <v>21</v>
      </c>
      <c r="H152" s="8" t="s">
        <v>22</v>
      </c>
      <c r="I152" s="8" t="s">
        <v>40</v>
      </c>
      <c r="J152" s="10">
        <v>4692</v>
      </c>
      <c r="K152" s="7" t="s">
        <v>994</v>
      </c>
      <c r="L152" s="11" t="s">
        <v>995</v>
      </c>
      <c r="M152" s="11" t="s">
        <v>996</v>
      </c>
      <c r="N152" s="11" t="s">
        <v>997</v>
      </c>
      <c r="O152" s="7" t="s">
        <v>27</v>
      </c>
      <c r="P152" s="8"/>
    </row>
    <row r="153" spans="1:16" ht="27">
      <c r="A153" s="7">
        <v>152</v>
      </c>
      <c r="B153" s="8" t="s">
        <v>839</v>
      </c>
      <c r="C153" s="9" t="s">
        <v>998</v>
      </c>
      <c r="D153" s="8" t="s">
        <v>999</v>
      </c>
      <c r="E153" s="8" t="s">
        <v>1000</v>
      </c>
      <c r="F153" s="7" t="s">
        <v>20</v>
      </c>
      <c r="G153" s="7" t="s">
        <v>21</v>
      </c>
      <c r="H153" s="8" t="s">
        <v>1001</v>
      </c>
      <c r="I153" s="8" t="s">
        <v>40</v>
      </c>
      <c r="J153" s="10">
        <v>7396</v>
      </c>
      <c r="K153" s="7" t="s">
        <v>785</v>
      </c>
      <c r="L153" s="11" t="s">
        <v>1002</v>
      </c>
      <c r="M153" s="11" t="s">
        <v>1003</v>
      </c>
      <c r="N153" s="11" t="s">
        <v>1004</v>
      </c>
      <c r="O153" s="7" t="s">
        <v>27</v>
      </c>
      <c r="P153" s="8"/>
    </row>
    <row r="154" spans="1:16" ht="27">
      <c r="A154" s="2">
        <v>153</v>
      </c>
      <c r="B154" s="3" t="s">
        <v>1005</v>
      </c>
      <c r="C154" s="4" t="s">
        <v>1006</v>
      </c>
      <c r="D154" s="3" t="s">
        <v>1007</v>
      </c>
      <c r="E154" s="3" t="s">
        <v>1008</v>
      </c>
      <c r="F154" s="2" t="s">
        <v>39</v>
      </c>
      <c r="G154" s="2" t="s">
        <v>21</v>
      </c>
      <c r="H154" s="3" t="s">
        <v>22</v>
      </c>
      <c r="I154" s="3" t="s">
        <v>40</v>
      </c>
      <c r="J154" s="5">
        <v>11229</v>
      </c>
      <c r="K154" s="2" t="s">
        <v>23</v>
      </c>
      <c r="L154" s="6" t="s">
        <v>1009</v>
      </c>
      <c r="M154" s="6" t="s">
        <v>1010</v>
      </c>
      <c r="N154" s="6" t="s">
        <v>1011</v>
      </c>
      <c r="O154" s="2" t="s">
        <v>27</v>
      </c>
      <c r="P154" s="3"/>
    </row>
    <row r="155" spans="1:16">
      <c r="A155" s="2">
        <v>154</v>
      </c>
      <c r="B155" s="3" t="s">
        <v>1005</v>
      </c>
      <c r="C155" s="4" t="s">
        <v>1012</v>
      </c>
      <c r="D155" s="3" t="s">
        <v>1013</v>
      </c>
      <c r="E155" s="3" t="s">
        <v>1014</v>
      </c>
      <c r="F155" s="2" t="s">
        <v>39</v>
      </c>
      <c r="G155" s="2" t="s">
        <v>110</v>
      </c>
      <c r="H155" s="3" t="s">
        <v>240</v>
      </c>
      <c r="I155" s="3" t="s">
        <v>40</v>
      </c>
      <c r="J155" s="5">
        <v>12174</v>
      </c>
      <c r="K155" s="2" t="s">
        <v>383</v>
      </c>
      <c r="L155" s="6" t="s">
        <v>1015</v>
      </c>
      <c r="M155" s="6" t="s">
        <v>1016</v>
      </c>
      <c r="N155" s="6" t="s">
        <v>1017</v>
      </c>
      <c r="O155" s="2" t="s">
        <v>27</v>
      </c>
      <c r="P155" s="3"/>
    </row>
    <row r="156" spans="1:16" ht="27">
      <c r="A156" s="2">
        <v>155</v>
      </c>
      <c r="B156" s="3" t="s">
        <v>1005</v>
      </c>
      <c r="C156" s="4" t="s">
        <v>1018</v>
      </c>
      <c r="D156" s="3" t="s">
        <v>1019</v>
      </c>
      <c r="E156" s="3" t="s">
        <v>1020</v>
      </c>
      <c r="F156" s="2" t="s">
        <v>20</v>
      </c>
      <c r="G156" s="2" t="s">
        <v>21</v>
      </c>
      <c r="H156" s="3" t="s">
        <v>22</v>
      </c>
      <c r="I156" s="3" t="s">
        <v>102</v>
      </c>
      <c r="J156" s="5">
        <v>3632</v>
      </c>
      <c r="K156" s="2" t="s">
        <v>464</v>
      </c>
      <c r="L156" s="6" t="s">
        <v>1021</v>
      </c>
      <c r="M156" s="6" t="s">
        <v>1021</v>
      </c>
      <c r="N156" s="6" t="s">
        <v>1022</v>
      </c>
      <c r="O156" s="2" t="s">
        <v>27</v>
      </c>
      <c r="P156" s="3"/>
    </row>
    <row r="157" spans="1:16" ht="27">
      <c r="A157" s="2">
        <v>156</v>
      </c>
      <c r="B157" s="3" t="s">
        <v>1005</v>
      </c>
      <c r="C157" s="4" t="s">
        <v>1023</v>
      </c>
      <c r="D157" s="3" t="s">
        <v>1024</v>
      </c>
      <c r="E157" s="3" t="s">
        <v>1025</v>
      </c>
      <c r="F157" s="2" t="s">
        <v>20</v>
      </c>
      <c r="G157" s="2" t="s">
        <v>21</v>
      </c>
      <c r="H157" s="3" t="s">
        <v>22</v>
      </c>
      <c r="I157" s="3" t="s">
        <v>1026</v>
      </c>
      <c r="J157" s="5">
        <v>2565</v>
      </c>
      <c r="K157" s="2" t="s">
        <v>464</v>
      </c>
      <c r="L157" s="6" t="s">
        <v>1027</v>
      </c>
      <c r="M157" s="6" t="s">
        <v>1027</v>
      </c>
      <c r="N157" s="6" t="s">
        <v>1028</v>
      </c>
      <c r="O157" s="2" t="s">
        <v>27</v>
      </c>
      <c r="P157" s="3"/>
    </row>
    <row r="158" spans="1:16" ht="27">
      <c r="A158" s="2">
        <v>157</v>
      </c>
      <c r="B158" s="3" t="s">
        <v>1005</v>
      </c>
      <c r="C158" s="4" t="s">
        <v>1029</v>
      </c>
      <c r="D158" s="3" t="s">
        <v>1030</v>
      </c>
      <c r="E158" s="3" t="s">
        <v>1031</v>
      </c>
      <c r="F158" s="2" t="s">
        <v>20</v>
      </c>
      <c r="G158" s="2" t="s">
        <v>21</v>
      </c>
      <c r="H158" s="3" t="s">
        <v>22</v>
      </c>
      <c r="I158" s="3" t="s">
        <v>40</v>
      </c>
      <c r="J158" s="5">
        <v>2130</v>
      </c>
      <c r="K158" s="2" t="s">
        <v>522</v>
      </c>
      <c r="L158" s="6" t="s">
        <v>1032</v>
      </c>
      <c r="M158" s="6" t="s">
        <v>1033</v>
      </c>
      <c r="N158" s="6" t="s">
        <v>1032</v>
      </c>
      <c r="O158" s="2" t="s">
        <v>27</v>
      </c>
      <c r="P158" s="3"/>
    </row>
    <row r="159" spans="1:16" ht="27">
      <c r="A159" s="2">
        <v>158</v>
      </c>
      <c r="B159" s="3" t="s">
        <v>1005</v>
      </c>
      <c r="C159" s="4" t="s">
        <v>1034</v>
      </c>
      <c r="D159" s="3" t="s">
        <v>1035</v>
      </c>
      <c r="E159" s="3" t="s">
        <v>1036</v>
      </c>
      <c r="F159" s="2" t="s">
        <v>20</v>
      </c>
      <c r="G159" s="2" t="s">
        <v>21</v>
      </c>
      <c r="H159" s="3" t="s">
        <v>22</v>
      </c>
      <c r="I159" s="3" t="s">
        <v>40</v>
      </c>
      <c r="J159" s="5">
        <v>6423</v>
      </c>
      <c r="K159" s="2" t="s">
        <v>48</v>
      </c>
      <c r="L159" s="6" t="s">
        <v>1037</v>
      </c>
      <c r="M159" s="6" t="s">
        <v>1038</v>
      </c>
      <c r="N159" s="6" t="s">
        <v>1037</v>
      </c>
      <c r="O159" s="2" t="s">
        <v>27</v>
      </c>
      <c r="P159" s="3"/>
    </row>
    <row r="160" spans="1:16">
      <c r="A160" s="2">
        <v>159</v>
      </c>
      <c r="B160" s="3" t="s">
        <v>1005</v>
      </c>
      <c r="C160" s="4" t="s">
        <v>1039</v>
      </c>
      <c r="D160" s="3" t="s">
        <v>1040</v>
      </c>
      <c r="E160" s="3" t="s">
        <v>1041</v>
      </c>
      <c r="F160" s="2" t="s">
        <v>39</v>
      </c>
      <c r="G160" s="2" t="s">
        <v>21</v>
      </c>
      <c r="H160" s="3" t="s">
        <v>22</v>
      </c>
      <c r="I160" s="3" t="s">
        <v>40</v>
      </c>
      <c r="J160" s="5">
        <v>12320</v>
      </c>
      <c r="K160" s="2" t="s">
        <v>56</v>
      </c>
      <c r="L160" s="6" t="s">
        <v>1042</v>
      </c>
      <c r="M160" s="6" t="s">
        <v>1043</v>
      </c>
      <c r="N160" s="6" t="s">
        <v>1044</v>
      </c>
      <c r="O160" s="2" t="s">
        <v>27</v>
      </c>
      <c r="P160" s="3"/>
    </row>
    <row r="161" spans="1:16" ht="27">
      <c r="A161" s="7">
        <v>160</v>
      </c>
      <c r="B161" s="8" t="s">
        <v>1045</v>
      </c>
      <c r="C161" s="9" t="s">
        <v>1046</v>
      </c>
      <c r="D161" s="8" t="s">
        <v>1047</v>
      </c>
      <c r="E161" s="8" t="s">
        <v>1048</v>
      </c>
      <c r="F161" s="7" t="s">
        <v>20</v>
      </c>
      <c r="G161" s="7" t="s">
        <v>21</v>
      </c>
      <c r="H161" s="8" t="s">
        <v>22</v>
      </c>
      <c r="I161" s="8" t="s">
        <v>40</v>
      </c>
      <c r="J161" s="10">
        <v>90490</v>
      </c>
      <c r="K161" s="7" t="s">
        <v>23</v>
      </c>
      <c r="L161" s="11" t="s">
        <v>1049</v>
      </c>
      <c r="M161" s="11" t="s">
        <v>1050</v>
      </c>
      <c r="N161" s="11" t="s">
        <v>1051</v>
      </c>
      <c r="O161" s="7" t="s">
        <v>27</v>
      </c>
      <c r="P161" s="8"/>
    </row>
    <row r="162" spans="1:16" ht="27">
      <c r="A162" s="7">
        <v>161</v>
      </c>
      <c r="B162" s="8" t="s">
        <v>1045</v>
      </c>
      <c r="C162" s="9" t="s">
        <v>1052</v>
      </c>
      <c r="D162" s="8" t="s">
        <v>1053</v>
      </c>
      <c r="E162" s="8" t="s">
        <v>1054</v>
      </c>
      <c r="F162" s="7" t="s">
        <v>20</v>
      </c>
      <c r="G162" s="7" t="s">
        <v>21</v>
      </c>
      <c r="H162" s="8" t="s">
        <v>22</v>
      </c>
      <c r="I162" s="8" t="s">
        <v>40</v>
      </c>
      <c r="J162" s="10">
        <v>13139</v>
      </c>
      <c r="K162" s="7" t="s">
        <v>1055</v>
      </c>
      <c r="L162" s="11" t="s">
        <v>1056</v>
      </c>
      <c r="M162" s="11" t="s">
        <v>1057</v>
      </c>
      <c r="N162" s="11" t="s">
        <v>1058</v>
      </c>
      <c r="O162" s="7" t="s">
        <v>27</v>
      </c>
      <c r="P162" s="8"/>
    </row>
    <row r="163" spans="1:16" ht="27">
      <c r="A163" s="7">
        <v>162</v>
      </c>
      <c r="B163" s="8" t="s">
        <v>1045</v>
      </c>
      <c r="C163" s="9" t="s">
        <v>1059</v>
      </c>
      <c r="D163" s="8" t="s">
        <v>1060</v>
      </c>
      <c r="E163" s="8" t="s">
        <v>1061</v>
      </c>
      <c r="F163" s="7" t="s">
        <v>20</v>
      </c>
      <c r="G163" s="7" t="s">
        <v>21</v>
      </c>
      <c r="H163" s="8" t="s">
        <v>22</v>
      </c>
      <c r="I163" s="8" t="s">
        <v>40</v>
      </c>
      <c r="J163" s="10">
        <v>3169</v>
      </c>
      <c r="K163" s="7" t="s">
        <v>48</v>
      </c>
      <c r="L163" s="11" t="s">
        <v>1062</v>
      </c>
      <c r="M163" s="11" t="s">
        <v>1063</v>
      </c>
      <c r="N163" s="11" t="s">
        <v>1064</v>
      </c>
      <c r="O163" s="7" t="s">
        <v>27</v>
      </c>
      <c r="P163" s="8"/>
    </row>
    <row r="164" spans="1:16" ht="27">
      <c r="A164" s="7">
        <v>163</v>
      </c>
      <c r="B164" s="8" t="s">
        <v>1045</v>
      </c>
      <c r="C164" s="9" t="s">
        <v>1065</v>
      </c>
      <c r="D164" s="8" t="s">
        <v>1066</v>
      </c>
      <c r="E164" s="8" t="s">
        <v>1067</v>
      </c>
      <c r="F164" s="7" t="s">
        <v>20</v>
      </c>
      <c r="G164" s="7" t="s">
        <v>21</v>
      </c>
      <c r="H164" s="8" t="s">
        <v>22</v>
      </c>
      <c r="I164" s="8" t="s">
        <v>804</v>
      </c>
      <c r="J164" s="10">
        <v>3793</v>
      </c>
      <c r="K164" s="7" t="s">
        <v>1068</v>
      </c>
      <c r="L164" s="11" t="s">
        <v>1069</v>
      </c>
      <c r="M164" s="11" t="s">
        <v>1070</v>
      </c>
      <c r="N164" s="11" t="s">
        <v>1069</v>
      </c>
      <c r="O164" s="7" t="s">
        <v>27</v>
      </c>
      <c r="P164" s="8"/>
    </row>
    <row r="165" spans="1:16" ht="27">
      <c r="A165" s="7">
        <v>164</v>
      </c>
      <c r="B165" s="8" t="s">
        <v>1045</v>
      </c>
      <c r="C165" s="9" t="s">
        <v>1071</v>
      </c>
      <c r="D165" s="8" t="s">
        <v>1072</v>
      </c>
      <c r="E165" s="8" t="s">
        <v>1073</v>
      </c>
      <c r="F165" s="7" t="s">
        <v>39</v>
      </c>
      <c r="G165" s="7" t="s">
        <v>110</v>
      </c>
      <c r="H165" s="8" t="s">
        <v>1074</v>
      </c>
      <c r="I165" s="8" t="s">
        <v>40</v>
      </c>
      <c r="J165" s="10">
        <v>38554</v>
      </c>
      <c r="K165" s="7" t="s">
        <v>48</v>
      </c>
      <c r="L165" s="11" t="s">
        <v>1075</v>
      </c>
      <c r="M165" s="11" t="s">
        <v>1076</v>
      </c>
      <c r="N165" s="11" t="s">
        <v>1077</v>
      </c>
      <c r="O165" s="7" t="s">
        <v>27</v>
      </c>
      <c r="P165" s="8"/>
    </row>
    <row r="166" spans="1:16" ht="27">
      <c r="A166" s="7">
        <v>165</v>
      </c>
      <c r="B166" s="8" t="s">
        <v>1045</v>
      </c>
      <c r="C166" s="9" t="s">
        <v>1078</v>
      </c>
      <c r="D166" s="8" t="s">
        <v>1079</v>
      </c>
      <c r="E166" s="8" t="s">
        <v>1080</v>
      </c>
      <c r="F166" s="7" t="s">
        <v>20</v>
      </c>
      <c r="G166" s="7" t="s">
        <v>21</v>
      </c>
      <c r="H166" s="8" t="s">
        <v>22</v>
      </c>
      <c r="I166" s="8" t="s">
        <v>40</v>
      </c>
      <c r="J166" s="10">
        <v>6126</v>
      </c>
      <c r="K166" s="7" t="s">
        <v>1081</v>
      </c>
      <c r="L166" s="11" t="s">
        <v>1082</v>
      </c>
      <c r="M166" s="11" t="s">
        <v>1083</v>
      </c>
      <c r="N166" s="11" t="s">
        <v>1082</v>
      </c>
      <c r="O166" s="7" t="s">
        <v>27</v>
      </c>
      <c r="P166" s="8"/>
    </row>
    <row r="167" spans="1:16" ht="27">
      <c r="A167" s="7">
        <v>166</v>
      </c>
      <c r="B167" s="8" t="s">
        <v>1045</v>
      </c>
      <c r="C167" s="9" t="s">
        <v>1084</v>
      </c>
      <c r="D167" s="8" t="s">
        <v>1085</v>
      </c>
      <c r="E167" s="8" t="s">
        <v>1086</v>
      </c>
      <c r="F167" s="7" t="s">
        <v>39</v>
      </c>
      <c r="G167" s="7" t="s">
        <v>21</v>
      </c>
      <c r="H167" s="8" t="s">
        <v>22</v>
      </c>
      <c r="I167" s="8" t="s">
        <v>40</v>
      </c>
      <c r="J167" s="10">
        <v>8158</v>
      </c>
      <c r="K167" s="7" t="s">
        <v>1087</v>
      </c>
      <c r="L167" s="11" t="s">
        <v>1088</v>
      </c>
      <c r="M167" s="11" t="s">
        <v>1089</v>
      </c>
      <c r="N167" s="11" t="s">
        <v>1088</v>
      </c>
      <c r="O167" s="7" t="s">
        <v>27</v>
      </c>
      <c r="P167" s="8"/>
    </row>
    <row r="168" spans="1:16" ht="27">
      <c r="A168" s="7">
        <v>167</v>
      </c>
      <c r="B168" s="8" t="s">
        <v>1045</v>
      </c>
      <c r="C168" s="9" t="s">
        <v>1090</v>
      </c>
      <c r="D168" s="8" t="s">
        <v>1091</v>
      </c>
      <c r="E168" s="8" t="s">
        <v>1092</v>
      </c>
      <c r="F168" s="7" t="s">
        <v>206</v>
      </c>
      <c r="G168" s="7" t="s">
        <v>110</v>
      </c>
      <c r="H168" s="8" t="s">
        <v>55</v>
      </c>
      <c r="I168" s="8" t="s">
        <v>40</v>
      </c>
      <c r="J168" s="10">
        <v>12282</v>
      </c>
      <c r="K168" s="7" t="s">
        <v>32</v>
      </c>
      <c r="L168" s="11" t="s">
        <v>1093</v>
      </c>
      <c r="M168" s="11" t="s">
        <v>1094</v>
      </c>
      <c r="N168" s="11" t="s">
        <v>1095</v>
      </c>
      <c r="O168" s="7" t="s">
        <v>27</v>
      </c>
      <c r="P168" s="8"/>
    </row>
    <row r="169" spans="1:16" ht="27">
      <c r="A169" s="7">
        <v>168</v>
      </c>
      <c r="B169" s="8" t="s">
        <v>1045</v>
      </c>
      <c r="C169" s="9" t="s">
        <v>1096</v>
      </c>
      <c r="D169" s="8" t="s">
        <v>1097</v>
      </c>
      <c r="E169" s="8" t="s">
        <v>1098</v>
      </c>
      <c r="F169" s="7" t="s">
        <v>39</v>
      </c>
      <c r="G169" s="7" t="s">
        <v>21</v>
      </c>
      <c r="H169" s="8" t="s">
        <v>22</v>
      </c>
      <c r="I169" s="8" t="s">
        <v>975</v>
      </c>
      <c r="J169" s="10">
        <v>5392</v>
      </c>
      <c r="K169" s="7" t="s">
        <v>23</v>
      </c>
      <c r="L169" s="11" t="s">
        <v>1099</v>
      </c>
      <c r="M169" s="11" t="s">
        <v>1100</v>
      </c>
      <c r="N169" s="11" t="s">
        <v>1101</v>
      </c>
      <c r="O169" s="7" t="s">
        <v>27</v>
      </c>
      <c r="P169" s="8"/>
    </row>
    <row r="170" spans="1:16" ht="27">
      <c r="A170" s="7">
        <v>169</v>
      </c>
      <c r="B170" s="8" t="s">
        <v>1045</v>
      </c>
      <c r="C170" s="9" t="s">
        <v>1102</v>
      </c>
      <c r="D170" s="8" t="s">
        <v>866</v>
      </c>
      <c r="E170" s="8" t="s">
        <v>1103</v>
      </c>
      <c r="F170" s="7" t="s">
        <v>39</v>
      </c>
      <c r="G170" s="7" t="s">
        <v>248</v>
      </c>
      <c r="H170" s="8" t="s">
        <v>22</v>
      </c>
      <c r="I170" s="8" t="s">
        <v>1104</v>
      </c>
      <c r="J170" s="10">
        <v>8484</v>
      </c>
      <c r="K170" s="7" t="s">
        <v>127</v>
      </c>
      <c r="L170" s="11" t="s">
        <v>1105</v>
      </c>
      <c r="M170" s="11" t="s">
        <v>1106</v>
      </c>
      <c r="N170" s="11" t="s">
        <v>1107</v>
      </c>
      <c r="O170" s="7" t="s">
        <v>27</v>
      </c>
      <c r="P170" s="8"/>
    </row>
    <row r="171" spans="1:16" ht="27">
      <c r="A171" s="7">
        <v>170</v>
      </c>
      <c r="B171" s="8" t="s">
        <v>1045</v>
      </c>
      <c r="C171" s="9" t="s">
        <v>1108</v>
      </c>
      <c r="D171" s="8" t="s">
        <v>1109</v>
      </c>
      <c r="E171" s="8" t="s">
        <v>1110</v>
      </c>
      <c r="F171" s="7" t="s">
        <v>39</v>
      </c>
      <c r="G171" s="7" t="s">
        <v>21</v>
      </c>
      <c r="H171" s="8" t="s">
        <v>22</v>
      </c>
      <c r="I171" s="8" t="s">
        <v>1111</v>
      </c>
      <c r="J171" s="10">
        <v>9675</v>
      </c>
      <c r="K171" s="7" t="s">
        <v>464</v>
      </c>
      <c r="L171" s="11" t="s">
        <v>1112</v>
      </c>
      <c r="M171" s="11" t="s">
        <v>1113</v>
      </c>
      <c r="N171" s="11" t="s">
        <v>1114</v>
      </c>
      <c r="O171" s="7" t="s">
        <v>27</v>
      </c>
      <c r="P171" s="8"/>
    </row>
    <row r="172" spans="1:16" ht="27">
      <c r="A172" s="7">
        <v>171</v>
      </c>
      <c r="B172" s="8" t="s">
        <v>1045</v>
      </c>
      <c r="C172" s="9" t="s">
        <v>1115</v>
      </c>
      <c r="D172" s="8" t="s">
        <v>1116</v>
      </c>
      <c r="E172" s="8" t="s">
        <v>1117</v>
      </c>
      <c r="F172" s="7" t="s">
        <v>20</v>
      </c>
      <c r="G172" s="7" t="s">
        <v>110</v>
      </c>
      <c r="H172" s="8" t="s">
        <v>180</v>
      </c>
      <c r="I172" s="8" t="s">
        <v>40</v>
      </c>
      <c r="J172" s="10">
        <v>133300</v>
      </c>
      <c r="K172" s="7" t="s">
        <v>23</v>
      </c>
      <c r="L172" s="11" t="s">
        <v>1118</v>
      </c>
      <c r="M172" s="11" t="s">
        <v>1118</v>
      </c>
      <c r="N172" s="11" t="s">
        <v>1119</v>
      </c>
      <c r="O172" s="7" t="s">
        <v>27</v>
      </c>
      <c r="P172" s="8"/>
    </row>
    <row r="173" spans="1:16" ht="27">
      <c r="A173" s="7">
        <v>172</v>
      </c>
      <c r="B173" s="8" t="s">
        <v>1045</v>
      </c>
      <c r="C173" s="9" t="s">
        <v>1120</v>
      </c>
      <c r="D173" s="8" t="s">
        <v>1121</v>
      </c>
      <c r="E173" s="8" t="s">
        <v>1122</v>
      </c>
      <c r="F173" s="7" t="s">
        <v>39</v>
      </c>
      <c r="G173" s="7" t="s">
        <v>248</v>
      </c>
      <c r="H173" s="8" t="s">
        <v>180</v>
      </c>
      <c r="I173" s="8" t="s">
        <v>1123</v>
      </c>
      <c r="J173" s="10">
        <v>50673</v>
      </c>
      <c r="K173" s="7" t="s">
        <v>23</v>
      </c>
      <c r="L173" s="11" t="s">
        <v>1124</v>
      </c>
      <c r="M173" s="11" t="s">
        <v>1125</v>
      </c>
      <c r="N173" s="11" t="s">
        <v>1126</v>
      </c>
      <c r="O173" s="7" t="s">
        <v>27</v>
      </c>
      <c r="P173" s="8"/>
    </row>
    <row r="174" spans="1:16" ht="27">
      <c r="A174" s="7">
        <v>173</v>
      </c>
      <c r="B174" s="8" t="s">
        <v>1045</v>
      </c>
      <c r="C174" s="9" t="s">
        <v>1127</v>
      </c>
      <c r="D174" s="8" t="s">
        <v>1128</v>
      </c>
      <c r="E174" s="8" t="s">
        <v>1129</v>
      </c>
      <c r="F174" s="7" t="s">
        <v>20</v>
      </c>
      <c r="G174" s="7" t="s">
        <v>21</v>
      </c>
      <c r="H174" s="8" t="s">
        <v>22</v>
      </c>
      <c r="I174" s="8" t="s">
        <v>40</v>
      </c>
      <c r="J174" s="10">
        <v>6131</v>
      </c>
      <c r="K174" s="7" t="s">
        <v>1130</v>
      </c>
      <c r="L174" s="11" t="s">
        <v>1131</v>
      </c>
      <c r="M174" s="11" t="s">
        <v>1131</v>
      </c>
      <c r="N174" s="11" t="s">
        <v>1132</v>
      </c>
      <c r="O174" s="7" t="s">
        <v>27</v>
      </c>
      <c r="P174" s="8"/>
    </row>
    <row r="175" spans="1:16" ht="27">
      <c r="A175" s="7">
        <v>174</v>
      </c>
      <c r="B175" s="8" t="s">
        <v>1045</v>
      </c>
      <c r="C175" s="9" t="s">
        <v>1133</v>
      </c>
      <c r="D175" s="8" t="s">
        <v>1134</v>
      </c>
      <c r="E175" s="8" t="s">
        <v>1135</v>
      </c>
      <c r="F175" s="7" t="s">
        <v>20</v>
      </c>
      <c r="G175" s="7" t="s">
        <v>21</v>
      </c>
      <c r="H175" s="8" t="s">
        <v>55</v>
      </c>
      <c r="I175" s="8" t="s">
        <v>40</v>
      </c>
      <c r="J175" s="10">
        <v>20658</v>
      </c>
      <c r="K175" s="7" t="s">
        <v>1136</v>
      </c>
      <c r="L175" s="11" t="s">
        <v>1137</v>
      </c>
      <c r="M175" s="11" t="s">
        <v>1138</v>
      </c>
      <c r="N175" s="11" t="s">
        <v>1139</v>
      </c>
      <c r="O175" s="7" t="s">
        <v>27</v>
      </c>
      <c r="P175" s="8"/>
    </row>
    <row r="176" spans="1:16" ht="27">
      <c r="A176" s="7">
        <v>175</v>
      </c>
      <c r="B176" s="8" t="s">
        <v>1045</v>
      </c>
      <c r="C176" s="9" t="s">
        <v>1140</v>
      </c>
      <c r="D176" s="8" t="s">
        <v>1141</v>
      </c>
      <c r="E176" s="8" t="s">
        <v>1142</v>
      </c>
      <c r="F176" s="7" t="s">
        <v>20</v>
      </c>
      <c r="G176" s="7" t="s">
        <v>21</v>
      </c>
      <c r="H176" s="8" t="s">
        <v>22</v>
      </c>
      <c r="I176" s="8" t="s">
        <v>40</v>
      </c>
      <c r="J176" s="10">
        <v>2837</v>
      </c>
      <c r="K176" s="7" t="s">
        <v>1143</v>
      </c>
      <c r="L176" s="11" t="s">
        <v>1144</v>
      </c>
      <c r="M176" s="11" t="s">
        <v>1144</v>
      </c>
      <c r="N176" s="11" t="s">
        <v>1145</v>
      </c>
      <c r="O176" s="7" t="s">
        <v>27</v>
      </c>
      <c r="P176" s="8"/>
    </row>
    <row r="177" spans="1:16" ht="27">
      <c r="A177" s="7">
        <v>176</v>
      </c>
      <c r="B177" s="8" t="s">
        <v>1045</v>
      </c>
      <c r="C177" s="9" t="s">
        <v>1146</v>
      </c>
      <c r="D177" s="8" t="s">
        <v>1147</v>
      </c>
      <c r="E177" s="8" t="s">
        <v>1148</v>
      </c>
      <c r="F177" s="7" t="s">
        <v>20</v>
      </c>
      <c r="G177" s="7" t="s">
        <v>21</v>
      </c>
      <c r="H177" s="8" t="s">
        <v>22</v>
      </c>
      <c r="I177" s="8" t="s">
        <v>40</v>
      </c>
      <c r="J177" s="10">
        <v>4349</v>
      </c>
      <c r="K177" s="7" t="s">
        <v>522</v>
      </c>
      <c r="L177" s="11" t="s">
        <v>1149</v>
      </c>
      <c r="M177" s="11" t="s">
        <v>1149</v>
      </c>
      <c r="N177" s="11" t="s">
        <v>1150</v>
      </c>
      <c r="O177" s="7" t="s">
        <v>27</v>
      </c>
      <c r="P177" s="8"/>
    </row>
    <row r="178" spans="1:16">
      <c r="A178" s="2">
        <v>177</v>
      </c>
      <c r="B178" s="3" t="s">
        <v>1151</v>
      </c>
      <c r="C178" s="4" t="s">
        <v>1152</v>
      </c>
      <c r="D178" s="3" t="s">
        <v>1153</v>
      </c>
      <c r="E178" s="3" t="s">
        <v>1154</v>
      </c>
      <c r="F178" s="2" t="s">
        <v>20</v>
      </c>
      <c r="G178" s="2" t="s">
        <v>21</v>
      </c>
      <c r="H178" s="3" t="s">
        <v>22</v>
      </c>
      <c r="I178" s="3" t="s">
        <v>768</v>
      </c>
      <c r="J178" s="5">
        <v>45686</v>
      </c>
      <c r="K178" s="2" t="s">
        <v>522</v>
      </c>
      <c r="L178" s="6" t="s">
        <v>1155</v>
      </c>
      <c r="M178" s="6" t="s">
        <v>1156</v>
      </c>
      <c r="N178" s="6" t="s">
        <v>1157</v>
      </c>
      <c r="O178" s="2" t="s">
        <v>27</v>
      </c>
      <c r="P178" s="3"/>
    </row>
    <row r="179" spans="1:16" ht="27">
      <c r="A179" s="2">
        <v>178</v>
      </c>
      <c r="B179" s="3" t="s">
        <v>1151</v>
      </c>
      <c r="C179" s="4" t="s">
        <v>1158</v>
      </c>
      <c r="D179" s="3" t="s">
        <v>1159</v>
      </c>
      <c r="E179" s="3" t="s">
        <v>1160</v>
      </c>
      <c r="F179" s="2" t="s">
        <v>39</v>
      </c>
      <c r="G179" s="2" t="s">
        <v>21</v>
      </c>
      <c r="H179" s="3" t="s">
        <v>22</v>
      </c>
      <c r="I179" s="3" t="s">
        <v>804</v>
      </c>
      <c r="J179" s="5">
        <v>11782</v>
      </c>
      <c r="K179" s="2" t="s">
        <v>23</v>
      </c>
      <c r="L179" s="6" t="s">
        <v>1161</v>
      </c>
      <c r="M179" s="6" t="s">
        <v>1162</v>
      </c>
      <c r="N179" s="6" t="s">
        <v>1163</v>
      </c>
      <c r="O179" s="2" t="s">
        <v>27</v>
      </c>
      <c r="P179" s="3"/>
    </row>
    <row r="180" spans="1:16" ht="27">
      <c r="A180" s="2">
        <v>179</v>
      </c>
      <c r="B180" s="3" t="s">
        <v>1151</v>
      </c>
      <c r="C180" s="4" t="s">
        <v>1164</v>
      </c>
      <c r="D180" s="3" t="s">
        <v>1165</v>
      </c>
      <c r="E180" s="3" t="s">
        <v>1166</v>
      </c>
      <c r="F180" s="2" t="s">
        <v>39</v>
      </c>
      <c r="G180" s="2" t="s">
        <v>248</v>
      </c>
      <c r="H180" s="3" t="s">
        <v>22</v>
      </c>
      <c r="I180" s="3" t="s">
        <v>1167</v>
      </c>
      <c r="J180" s="5">
        <v>12428</v>
      </c>
      <c r="K180" s="2" t="s">
        <v>23</v>
      </c>
      <c r="L180" s="6" t="s">
        <v>1168</v>
      </c>
      <c r="M180" s="6" t="s">
        <v>1169</v>
      </c>
      <c r="N180" s="6" t="s">
        <v>1170</v>
      </c>
      <c r="O180" s="2" t="s">
        <v>27</v>
      </c>
      <c r="P180" s="3"/>
    </row>
    <row r="181" spans="1:16" ht="27">
      <c r="A181" s="2">
        <v>180</v>
      </c>
      <c r="B181" s="3" t="s">
        <v>1151</v>
      </c>
      <c r="C181" s="4" t="s">
        <v>1171</v>
      </c>
      <c r="D181" s="3" t="s">
        <v>1172</v>
      </c>
      <c r="E181" s="3" t="s">
        <v>1173</v>
      </c>
      <c r="F181" s="2" t="s">
        <v>39</v>
      </c>
      <c r="G181" s="2" t="s">
        <v>21</v>
      </c>
      <c r="H181" s="3" t="s">
        <v>22</v>
      </c>
      <c r="I181" s="3" t="s">
        <v>768</v>
      </c>
      <c r="J181" s="5">
        <v>12598</v>
      </c>
      <c r="K181" s="2" t="s">
        <v>1174</v>
      </c>
      <c r="L181" s="6" t="s">
        <v>1175</v>
      </c>
      <c r="M181" s="6" t="s">
        <v>1176</v>
      </c>
      <c r="N181" s="6" t="s">
        <v>1177</v>
      </c>
      <c r="O181" s="2" t="s">
        <v>27</v>
      </c>
      <c r="P181" s="3"/>
    </row>
    <row r="182" spans="1:16" ht="27">
      <c r="A182" s="2">
        <v>181</v>
      </c>
      <c r="B182" s="3" t="s">
        <v>1151</v>
      </c>
      <c r="C182" s="4" t="s">
        <v>1178</v>
      </c>
      <c r="D182" s="3" t="s">
        <v>1179</v>
      </c>
      <c r="E182" s="3" t="s">
        <v>1180</v>
      </c>
      <c r="F182" s="2" t="s">
        <v>20</v>
      </c>
      <c r="G182" s="2" t="s">
        <v>248</v>
      </c>
      <c r="H182" s="3" t="s">
        <v>22</v>
      </c>
      <c r="I182" s="3" t="s">
        <v>1181</v>
      </c>
      <c r="J182" s="5">
        <v>805</v>
      </c>
      <c r="K182" s="2" t="s">
        <v>1182</v>
      </c>
      <c r="L182" s="6" t="s">
        <v>1183</v>
      </c>
      <c r="M182" s="6" t="s">
        <v>1184</v>
      </c>
      <c r="N182" s="6" t="s">
        <v>1185</v>
      </c>
      <c r="O182" s="2" t="s">
        <v>27</v>
      </c>
      <c r="P182" s="3"/>
    </row>
    <row r="183" spans="1:16">
      <c r="A183" s="2">
        <v>182</v>
      </c>
      <c r="B183" s="3" t="s">
        <v>1151</v>
      </c>
      <c r="C183" s="4" t="s">
        <v>1186</v>
      </c>
      <c r="D183" s="3" t="s">
        <v>1187</v>
      </c>
      <c r="E183" s="3" t="s">
        <v>1188</v>
      </c>
      <c r="F183" s="2" t="s">
        <v>20</v>
      </c>
      <c r="G183" s="2" t="s">
        <v>21</v>
      </c>
      <c r="H183" s="3" t="s">
        <v>22</v>
      </c>
      <c r="I183" s="3" t="s">
        <v>40</v>
      </c>
      <c r="J183" s="5">
        <v>3187</v>
      </c>
      <c r="K183" s="2" t="s">
        <v>1189</v>
      </c>
      <c r="L183" s="6" t="s">
        <v>1190</v>
      </c>
      <c r="M183" s="6" t="s">
        <v>1190</v>
      </c>
      <c r="N183" s="6" t="s">
        <v>1191</v>
      </c>
      <c r="O183" s="2" t="s">
        <v>27</v>
      </c>
      <c r="P183" s="3"/>
    </row>
    <row r="184" spans="1:16">
      <c r="A184" s="2">
        <v>183</v>
      </c>
      <c r="B184" s="3" t="s">
        <v>1151</v>
      </c>
      <c r="C184" s="4" t="s">
        <v>1192</v>
      </c>
      <c r="D184" s="3" t="s">
        <v>1193</v>
      </c>
      <c r="E184" s="3" t="s">
        <v>1194</v>
      </c>
      <c r="F184" s="2" t="s">
        <v>39</v>
      </c>
      <c r="G184" s="2" t="s">
        <v>21</v>
      </c>
      <c r="H184" s="3" t="s">
        <v>240</v>
      </c>
      <c r="I184" s="3" t="s">
        <v>40</v>
      </c>
      <c r="J184" s="5">
        <v>14618</v>
      </c>
      <c r="K184" s="2" t="s">
        <v>23</v>
      </c>
      <c r="L184" s="6" t="s">
        <v>1195</v>
      </c>
      <c r="M184" s="6" t="s">
        <v>1196</v>
      </c>
      <c r="N184" s="6" t="s">
        <v>1197</v>
      </c>
      <c r="O184" s="2" t="s">
        <v>27</v>
      </c>
      <c r="P184" s="3"/>
    </row>
    <row r="185" spans="1:16">
      <c r="A185" s="2">
        <v>184</v>
      </c>
      <c r="B185" s="3" t="s">
        <v>1151</v>
      </c>
      <c r="C185" s="4" t="s">
        <v>1198</v>
      </c>
      <c r="D185" s="3" t="s">
        <v>1199</v>
      </c>
      <c r="E185" s="3" t="s">
        <v>1200</v>
      </c>
      <c r="F185" s="2" t="s">
        <v>20</v>
      </c>
      <c r="G185" s="2" t="s">
        <v>110</v>
      </c>
      <c r="H185" s="3" t="s">
        <v>180</v>
      </c>
      <c r="I185" s="3" t="s">
        <v>40</v>
      </c>
      <c r="J185" s="5">
        <v>12031</v>
      </c>
      <c r="K185" s="2" t="s">
        <v>23</v>
      </c>
      <c r="L185" s="6" t="s">
        <v>1201</v>
      </c>
      <c r="M185" s="6" t="s">
        <v>1202</v>
      </c>
      <c r="N185" s="6" t="s">
        <v>1203</v>
      </c>
      <c r="O185" s="2" t="s">
        <v>27</v>
      </c>
      <c r="P185" s="3"/>
    </row>
    <row r="186" spans="1:16">
      <c r="A186" s="2">
        <v>185</v>
      </c>
      <c r="B186" s="3" t="s">
        <v>1151</v>
      </c>
      <c r="C186" s="4" t="s">
        <v>1204</v>
      </c>
      <c r="D186" s="3" t="s">
        <v>1205</v>
      </c>
      <c r="E186" s="3" t="s">
        <v>1206</v>
      </c>
      <c r="F186" s="2" t="s">
        <v>39</v>
      </c>
      <c r="G186" s="2" t="s">
        <v>21</v>
      </c>
      <c r="H186" s="3" t="s">
        <v>22</v>
      </c>
      <c r="I186" s="3" t="s">
        <v>40</v>
      </c>
      <c r="J186" s="5">
        <v>10501</v>
      </c>
      <c r="K186" s="2" t="s">
        <v>23</v>
      </c>
      <c r="L186" s="6" t="s">
        <v>1207</v>
      </c>
      <c r="M186" s="6" t="s">
        <v>1207</v>
      </c>
      <c r="N186" s="6" t="s">
        <v>1208</v>
      </c>
      <c r="O186" s="2" t="s">
        <v>27</v>
      </c>
      <c r="P186" s="3"/>
    </row>
    <row r="187" spans="1:16" ht="27">
      <c r="A187" s="2">
        <v>186</v>
      </c>
      <c r="B187" s="3" t="s">
        <v>1151</v>
      </c>
      <c r="C187" s="4" t="s">
        <v>1209</v>
      </c>
      <c r="D187" s="3" t="s">
        <v>1210</v>
      </c>
      <c r="E187" s="3" t="s">
        <v>1211</v>
      </c>
      <c r="F187" s="2" t="s">
        <v>39</v>
      </c>
      <c r="G187" s="2" t="s">
        <v>248</v>
      </c>
      <c r="H187" s="3" t="s">
        <v>22</v>
      </c>
      <c r="I187" s="3" t="s">
        <v>1212</v>
      </c>
      <c r="J187" s="5">
        <v>773</v>
      </c>
      <c r="K187" s="2" t="s">
        <v>1213</v>
      </c>
      <c r="L187" s="6" t="s">
        <v>1214</v>
      </c>
      <c r="M187" s="6" t="s">
        <v>1215</v>
      </c>
      <c r="N187" s="6" t="s">
        <v>1216</v>
      </c>
      <c r="O187" s="2" t="s">
        <v>27</v>
      </c>
      <c r="P187" s="3"/>
    </row>
    <row r="188" spans="1:16">
      <c r="A188" s="2">
        <v>187</v>
      </c>
      <c r="B188" s="3" t="s">
        <v>1151</v>
      </c>
      <c r="C188" s="4" t="s">
        <v>1217</v>
      </c>
      <c r="D188" s="3" t="s">
        <v>1218</v>
      </c>
      <c r="E188" s="3" t="s">
        <v>1219</v>
      </c>
      <c r="F188" s="2" t="s">
        <v>39</v>
      </c>
      <c r="G188" s="2" t="s">
        <v>21</v>
      </c>
      <c r="H188" s="3" t="s">
        <v>22</v>
      </c>
      <c r="I188" s="3" t="s">
        <v>40</v>
      </c>
      <c r="J188" s="5">
        <v>4069</v>
      </c>
      <c r="K188" s="2" t="s">
        <v>215</v>
      </c>
      <c r="L188" s="6" t="s">
        <v>1220</v>
      </c>
      <c r="M188" s="6" t="s">
        <v>1221</v>
      </c>
      <c r="N188" s="6" t="s">
        <v>1222</v>
      </c>
      <c r="O188" s="2" t="s">
        <v>27</v>
      </c>
      <c r="P188" s="3"/>
    </row>
    <row r="189" spans="1:16">
      <c r="A189" s="7">
        <v>188</v>
      </c>
      <c r="B189" s="8" t="s">
        <v>1223</v>
      </c>
      <c r="C189" s="9" t="s">
        <v>1224</v>
      </c>
      <c r="D189" s="8" t="s">
        <v>1225</v>
      </c>
      <c r="E189" s="8" t="s">
        <v>1226</v>
      </c>
      <c r="F189" s="7" t="s">
        <v>39</v>
      </c>
      <c r="G189" s="7" t="s">
        <v>21</v>
      </c>
      <c r="H189" s="8" t="s">
        <v>22</v>
      </c>
      <c r="I189" s="8" t="s">
        <v>40</v>
      </c>
      <c r="J189" s="10">
        <v>14749</v>
      </c>
      <c r="K189" s="7" t="s">
        <v>48</v>
      </c>
      <c r="L189" s="11" t="s">
        <v>1227</v>
      </c>
      <c r="M189" s="11" t="s">
        <v>1228</v>
      </c>
      <c r="N189" s="11" t="s">
        <v>1229</v>
      </c>
      <c r="O189" s="7" t="s">
        <v>27</v>
      </c>
      <c r="P189" s="8"/>
    </row>
    <row r="190" spans="1:16">
      <c r="A190" s="7">
        <v>189</v>
      </c>
      <c r="B190" s="8" t="s">
        <v>1223</v>
      </c>
      <c r="C190" s="9" t="s">
        <v>1230</v>
      </c>
      <c r="D190" s="8" t="s">
        <v>1231</v>
      </c>
      <c r="E190" s="8" t="s">
        <v>1232</v>
      </c>
      <c r="F190" s="7" t="s">
        <v>20</v>
      </c>
      <c r="G190" s="7" t="s">
        <v>21</v>
      </c>
      <c r="H190" s="8" t="s">
        <v>22</v>
      </c>
      <c r="I190" s="8" t="s">
        <v>40</v>
      </c>
      <c r="J190" s="10">
        <v>25359</v>
      </c>
      <c r="K190" s="7" t="s">
        <v>1233</v>
      </c>
      <c r="L190" s="11" t="s">
        <v>1234</v>
      </c>
      <c r="M190" s="11" t="s">
        <v>1234</v>
      </c>
      <c r="N190" s="11" t="s">
        <v>1235</v>
      </c>
      <c r="O190" s="7" t="s">
        <v>27</v>
      </c>
      <c r="P190" s="8"/>
    </row>
    <row r="191" spans="1:16" ht="27">
      <c r="A191" s="7">
        <v>190</v>
      </c>
      <c r="B191" s="8" t="s">
        <v>1223</v>
      </c>
      <c r="C191" s="9" t="s">
        <v>1236</v>
      </c>
      <c r="D191" s="8" t="s">
        <v>1237</v>
      </c>
      <c r="E191" s="8" t="s">
        <v>1238</v>
      </c>
      <c r="F191" s="7" t="s">
        <v>20</v>
      </c>
      <c r="G191" s="7" t="s">
        <v>21</v>
      </c>
      <c r="H191" s="8" t="s">
        <v>22</v>
      </c>
      <c r="I191" s="8" t="s">
        <v>40</v>
      </c>
      <c r="J191" s="10">
        <v>912</v>
      </c>
      <c r="K191" s="7" t="s">
        <v>1239</v>
      </c>
      <c r="L191" s="11" t="s">
        <v>1240</v>
      </c>
      <c r="M191" s="11" t="s">
        <v>25</v>
      </c>
      <c r="N191" s="11" t="s">
        <v>1241</v>
      </c>
      <c r="O191" s="7" t="s">
        <v>27</v>
      </c>
      <c r="P191" s="8"/>
    </row>
    <row r="192" spans="1:16" ht="27">
      <c r="A192" s="7">
        <v>191</v>
      </c>
      <c r="B192" s="8" t="s">
        <v>1223</v>
      </c>
      <c r="C192" s="9" t="s">
        <v>1242</v>
      </c>
      <c r="D192" s="8" t="s">
        <v>1243</v>
      </c>
      <c r="E192" s="8" t="s">
        <v>1244</v>
      </c>
      <c r="F192" s="7" t="s">
        <v>20</v>
      </c>
      <c r="G192" s="7" t="s">
        <v>21</v>
      </c>
      <c r="H192" s="8" t="s">
        <v>22</v>
      </c>
      <c r="I192" s="8" t="s">
        <v>804</v>
      </c>
      <c r="J192" s="10">
        <v>10428</v>
      </c>
      <c r="K192" s="7" t="s">
        <v>193</v>
      </c>
      <c r="L192" s="11" t="s">
        <v>1245</v>
      </c>
      <c r="M192" s="11" t="s">
        <v>1246</v>
      </c>
      <c r="N192" s="11" t="s">
        <v>1247</v>
      </c>
      <c r="O192" s="7" t="s">
        <v>27</v>
      </c>
      <c r="P192" s="8"/>
    </row>
    <row r="193" spans="1:16" ht="27">
      <c r="A193" s="7">
        <v>192</v>
      </c>
      <c r="B193" s="8" t="s">
        <v>1223</v>
      </c>
      <c r="C193" s="9" t="s">
        <v>1248</v>
      </c>
      <c r="D193" s="8" t="s">
        <v>1249</v>
      </c>
      <c r="E193" s="8" t="s">
        <v>1250</v>
      </c>
      <c r="F193" s="7" t="s">
        <v>39</v>
      </c>
      <c r="G193" s="7" t="s">
        <v>21</v>
      </c>
      <c r="H193" s="8" t="s">
        <v>1251</v>
      </c>
      <c r="I193" s="8" t="s">
        <v>118</v>
      </c>
      <c r="J193" s="10"/>
      <c r="K193" s="7"/>
      <c r="L193" s="11" t="s">
        <v>1252</v>
      </c>
      <c r="M193" s="11" t="s">
        <v>1253</v>
      </c>
      <c r="N193" s="11" t="s">
        <v>1254</v>
      </c>
      <c r="O193" s="7" t="s">
        <v>27</v>
      </c>
      <c r="P193" s="8"/>
    </row>
    <row r="194" spans="1:16">
      <c r="A194" s="7">
        <v>193</v>
      </c>
      <c r="B194" s="8" t="s">
        <v>1223</v>
      </c>
      <c r="C194" s="9" t="s">
        <v>1255</v>
      </c>
      <c r="D194" s="8" t="s">
        <v>1256</v>
      </c>
      <c r="E194" s="8" t="s">
        <v>1257</v>
      </c>
      <c r="F194" s="7" t="s">
        <v>39</v>
      </c>
      <c r="G194" s="7" t="s">
        <v>21</v>
      </c>
      <c r="H194" s="8" t="s">
        <v>22</v>
      </c>
      <c r="I194" s="8" t="s">
        <v>40</v>
      </c>
      <c r="J194" s="10">
        <v>1669</v>
      </c>
      <c r="K194" s="7" t="s">
        <v>1258</v>
      </c>
      <c r="L194" s="11" t="s">
        <v>1259</v>
      </c>
      <c r="M194" s="11" t="s">
        <v>1259</v>
      </c>
      <c r="N194" s="11" t="s">
        <v>1260</v>
      </c>
      <c r="O194" s="7" t="s">
        <v>27</v>
      </c>
      <c r="P194" s="8"/>
    </row>
    <row r="195" spans="1:16" ht="27">
      <c r="A195" s="7">
        <v>194</v>
      </c>
      <c r="B195" s="8" t="s">
        <v>1223</v>
      </c>
      <c r="C195" s="9" t="s">
        <v>1261</v>
      </c>
      <c r="D195" s="8" t="s">
        <v>1262</v>
      </c>
      <c r="E195" s="8" t="s">
        <v>1263</v>
      </c>
      <c r="F195" s="7" t="s">
        <v>20</v>
      </c>
      <c r="G195" s="7" t="s">
        <v>21</v>
      </c>
      <c r="H195" s="8" t="s">
        <v>22</v>
      </c>
      <c r="I195" s="8" t="s">
        <v>118</v>
      </c>
      <c r="J195" s="10">
        <v>953</v>
      </c>
      <c r="K195" s="7" t="s">
        <v>1264</v>
      </c>
      <c r="L195" s="11" t="s">
        <v>1265</v>
      </c>
      <c r="M195" s="11" t="s">
        <v>1266</v>
      </c>
      <c r="N195" s="11" t="s">
        <v>1267</v>
      </c>
      <c r="O195" s="7" t="s">
        <v>27</v>
      </c>
      <c r="P195" s="8"/>
    </row>
    <row r="196" spans="1:16">
      <c r="A196" s="7">
        <v>195</v>
      </c>
      <c r="B196" s="8" t="s">
        <v>1223</v>
      </c>
      <c r="C196" s="9" t="s">
        <v>1268</v>
      </c>
      <c r="D196" s="8" t="s">
        <v>1269</v>
      </c>
      <c r="E196" s="8" t="s">
        <v>1270</v>
      </c>
      <c r="F196" s="7" t="s">
        <v>20</v>
      </c>
      <c r="G196" s="7" t="s">
        <v>21</v>
      </c>
      <c r="H196" s="8" t="s">
        <v>22</v>
      </c>
      <c r="I196" s="8" t="s">
        <v>40</v>
      </c>
      <c r="J196" s="10">
        <v>1960</v>
      </c>
      <c r="K196" s="7" t="s">
        <v>1271</v>
      </c>
      <c r="L196" s="11" t="s">
        <v>1272</v>
      </c>
      <c r="M196" s="11" t="s">
        <v>1272</v>
      </c>
      <c r="N196" s="11" t="s">
        <v>1273</v>
      </c>
      <c r="O196" s="7" t="s">
        <v>27</v>
      </c>
      <c r="P196" s="8"/>
    </row>
    <row r="197" spans="1:16">
      <c r="A197" s="7">
        <v>196</v>
      </c>
      <c r="B197" s="8" t="s">
        <v>1223</v>
      </c>
      <c r="C197" s="9" t="s">
        <v>1274</v>
      </c>
      <c r="D197" s="8" t="s">
        <v>1275</v>
      </c>
      <c r="E197" s="8" t="s">
        <v>1276</v>
      </c>
      <c r="F197" s="7" t="s">
        <v>39</v>
      </c>
      <c r="G197" s="7" t="s">
        <v>21</v>
      </c>
      <c r="H197" s="8" t="s">
        <v>22</v>
      </c>
      <c r="I197" s="8" t="s">
        <v>102</v>
      </c>
      <c r="J197" s="10">
        <v>2127</v>
      </c>
      <c r="K197" s="7" t="s">
        <v>1277</v>
      </c>
      <c r="L197" s="11" t="s">
        <v>1278</v>
      </c>
      <c r="M197" s="11" t="s">
        <v>1279</v>
      </c>
      <c r="N197" s="11" t="s">
        <v>1280</v>
      </c>
      <c r="O197" s="7" t="s">
        <v>27</v>
      </c>
      <c r="P197" s="8"/>
    </row>
    <row r="198" spans="1:16">
      <c r="A198" s="7">
        <v>197</v>
      </c>
      <c r="B198" s="8" t="s">
        <v>1223</v>
      </c>
      <c r="C198" s="9" t="s">
        <v>1281</v>
      </c>
      <c r="D198" s="8" t="s">
        <v>1282</v>
      </c>
      <c r="E198" s="8" t="s">
        <v>1283</v>
      </c>
      <c r="F198" s="7" t="s">
        <v>20</v>
      </c>
      <c r="G198" s="7" t="s">
        <v>21</v>
      </c>
      <c r="H198" s="8" t="s">
        <v>22</v>
      </c>
      <c r="I198" s="8" t="s">
        <v>40</v>
      </c>
      <c r="J198" s="10">
        <v>2353</v>
      </c>
      <c r="K198" s="7" t="s">
        <v>792</v>
      </c>
      <c r="L198" s="11" t="s">
        <v>1284</v>
      </c>
      <c r="M198" s="11" t="s">
        <v>1285</v>
      </c>
      <c r="N198" s="11" t="s">
        <v>1286</v>
      </c>
      <c r="O198" s="7" t="s">
        <v>27</v>
      </c>
      <c r="P198" s="8"/>
    </row>
    <row r="199" spans="1:16">
      <c r="A199" s="7">
        <v>198</v>
      </c>
      <c r="B199" s="8" t="s">
        <v>1223</v>
      </c>
      <c r="C199" s="9" t="s">
        <v>1287</v>
      </c>
      <c r="D199" s="8" t="s">
        <v>1288</v>
      </c>
      <c r="E199" s="8" t="s">
        <v>1289</v>
      </c>
      <c r="F199" s="7" t="s">
        <v>39</v>
      </c>
      <c r="G199" s="7" t="s">
        <v>21</v>
      </c>
      <c r="H199" s="8" t="s">
        <v>22</v>
      </c>
      <c r="I199" s="8" t="s">
        <v>40</v>
      </c>
      <c r="J199" s="10">
        <v>241</v>
      </c>
      <c r="K199" s="7" t="s">
        <v>383</v>
      </c>
      <c r="L199" s="11" t="s">
        <v>1290</v>
      </c>
      <c r="M199" s="11" t="s">
        <v>1290</v>
      </c>
      <c r="N199" s="11" t="s">
        <v>1291</v>
      </c>
      <c r="O199" s="7" t="s">
        <v>27</v>
      </c>
      <c r="P199" s="8"/>
    </row>
    <row r="200" spans="1:16" ht="27">
      <c r="A200" s="7">
        <v>199</v>
      </c>
      <c r="B200" s="8" t="s">
        <v>1223</v>
      </c>
      <c r="C200" s="9" t="s">
        <v>1292</v>
      </c>
      <c r="D200" s="8" t="s">
        <v>1293</v>
      </c>
      <c r="E200" s="8" t="s">
        <v>1294</v>
      </c>
      <c r="F200" s="7" t="s">
        <v>39</v>
      </c>
      <c r="G200" s="7" t="s">
        <v>21</v>
      </c>
      <c r="H200" s="8" t="s">
        <v>22</v>
      </c>
      <c r="I200" s="8" t="s">
        <v>804</v>
      </c>
      <c r="J200" s="10">
        <v>1975</v>
      </c>
      <c r="K200" s="7" t="s">
        <v>23</v>
      </c>
      <c r="L200" s="11" t="s">
        <v>1295</v>
      </c>
      <c r="M200" s="11" t="s">
        <v>1296</v>
      </c>
      <c r="N200" s="11" t="s">
        <v>1297</v>
      </c>
      <c r="O200" s="7" t="s">
        <v>27</v>
      </c>
      <c r="P200" s="8"/>
    </row>
    <row r="201" spans="1:16">
      <c r="A201" s="7">
        <v>200</v>
      </c>
      <c r="B201" s="8" t="s">
        <v>1223</v>
      </c>
      <c r="C201" s="9" t="s">
        <v>1298</v>
      </c>
      <c r="D201" s="8" t="s">
        <v>1299</v>
      </c>
      <c r="E201" s="8" t="s">
        <v>1300</v>
      </c>
      <c r="F201" s="7" t="s">
        <v>39</v>
      </c>
      <c r="G201" s="7" t="s">
        <v>21</v>
      </c>
      <c r="H201" s="8" t="s">
        <v>22</v>
      </c>
      <c r="I201" s="8" t="s">
        <v>102</v>
      </c>
      <c r="J201" s="10">
        <v>1715</v>
      </c>
      <c r="K201" s="7" t="s">
        <v>193</v>
      </c>
      <c r="L201" s="11" t="s">
        <v>1301</v>
      </c>
      <c r="M201" s="11" t="s">
        <v>1301</v>
      </c>
      <c r="N201" s="11" t="s">
        <v>1302</v>
      </c>
      <c r="O201" s="7" t="s">
        <v>27</v>
      </c>
      <c r="P201" s="8"/>
    </row>
    <row r="202" spans="1:16">
      <c r="A202" s="7">
        <v>201</v>
      </c>
      <c r="B202" s="8" t="s">
        <v>1223</v>
      </c>
      <c r="C202" s="9" t="s">
        <v>1303</v>
      </c>
      <c r="D202" s="8" t="s">
        <v>1304</v>
      </c>
      <c r="E202" s="8" t="s">
        <v>1305</v>
      </c>
      <c r="F202" s="7" t="s">
        <v>39</v>
      </c>
      <c r="G202" s="7" t="s">
        <v>21</v>
      </c>
      <c r="H202" s="8" t="s">
        <v>22</v>
      </c>
      <c r="I202" s="8" t="s">
        <v>681</v>
      </c>
      <c r="J202" s="10">
        <v>4245</v>
      </c>
      <c r="K202" s="7" t="s">
        <v>48</v>
      </c>
      <c r="L202" s="11" t="s">
        <v>1306</v>
      </c>
      <c r="M202" s="11" t="s">
        <v>1307</v>
      </c>
      <c r="N202" s="11" t="s">
        <v>1306</v>
      </c>
      <c r="O202" s="7" t="s">
        <v>27</v>
      </c>
      <c r="P202" s="8"/>
    </row>
    <row r="203" spans="1:16">
      <c r="A203" s="7">
        <v>202</v>
      </c>
      <c r="B203" s="8" t="s">
        <v>1223</v>
      </c>
      <c r="C203" s="9" t="s">
        <v>1308</v>
      </c>
      <c r="D203" s="8" t="s">
        <v>1309</v>
      </c>
      <c r="E203" s="8" t="s">
        <v>1310</v>
      </c>
      <c r="F203" s="7" t="s">
        <v>20</v>
      </c>
      <c r="G203" s="7" t="s">
        <v>21</v>
      </c>
      <c r="H203" s="8" t="s">
        <v>22</v>
      </c>
      <c r="I203" s="8" t="s">
        <v>40</v>
      </c>
      <c r="J203" s="10">
        <v>1709</v>
      </c>
      <c r="K203" s="7" t="s">
        <v>1311</v>
      </c>
      <c r="L203" s="11" t="s">
        <v>1312</v>
      </c>
      <c r="M203" s="11" t="s">
        <v>1312</v>
      </c>
      <c r="N203" s="11" t="s">
        <v>1313</v>
      </c>
      <c r="O203" s="7" t="s">
        <v>27</v>
      </c>
      <c r="P203" s="8"/>
    </row>
    <row r="204" spans="1:16">
      <c r="A204" s="7">
        <v>203</v>
      </c>
      <c r="B204" s="8" t="s">
        <v>1223</v>
      </c>
      <c r="C204" s="9" t="s">
        <v>1314</v>
      </c>
      <c r="D204" s="8" t="s">
        <v>1315</v>
      </c>
      <c r="E204" s="8" t="s">
        <v>1316</v>
      </c>
      <c r="F204" s="7" t="s">
        <v>39</v>
      </c>
      <c r="G204" s="7" t="s">
        <v>21</v>
      </c>
      <c r="H204" s="8" t="s">
        <v>1251</v>
      </c>
      <c r="I204" s="8" t="s">
        <v>40</v>
      </c>
      <c r="J204" s="10">
        <v>976</v>
      </c>
      <c r="K204" s="7" t="s">
        <v>1317</v>
      </c>
      <c r="L204" s="11" t="s">
        <v>1318</v>
      </c>
      <c r="M204" s="11" t="s">
        <v>1318</v>
      </c>
      <c r="N204" s="11" t="s">
        <v>1319</v>
      </c>
      <c r="O204" s="7" t="s">
        <v>27</v>
      </c>
      <c r="P204" s="8"/>
    </row>
    <row r="205" spans="1:16">
      <c r="A205" s="2">
        <v>204</v>
      </c>
      <c r="B205" s="3" t="s">
        <v>1320</v>
      </c>
      <c r="C205" s="4" t="s">
        <v>1321</v>
      </c>
      <c r="D205" s="3" t="s">
        <v>1322</v>
      </c>
      <c r="E205" s="3" t="s">
        <v>1323</v>
      </c>
      <c r="F205" s="2" t="s">
        <v>20</v>
      </c>
      <c r="G205" s="2" t="s">
        <v>21</v>
      </c>
      <c r="H205" s="3" t="s">
        <v>22</v>
      </c>
      <c r="I205" s="3" t="s">
        <v>40</v>
      </c>
      <c r="J205" s="5">
        <v>183</v>
      </c>
      <c r="K205" s="2" t="s">
        <v>193</v>
      </c>
      <c r="L205" s="6" t="s">
        <v>1324</v>
      </c>
      <c r="M205" s="6" t="s">
        <v>1325</v>
      </c>
      <c r="N205" s="6" t="s">
        <v>1326</v>
      </c>
      <c r="O205" s="2" t="s">
        <v>27</v>
      </c>
      <c r="P205" s="3"/>
    </row>
    <row r="206" spans="1:16">
      <c r="A206" s="2">
        <v>205</v>
      </c>
      <c r="B206" s="3" t="s">
        <v>1320</v>
      </c>
      <c r="C206" s="4" t="s">
        <v>1327</v>
      </c>
      <c r="D206" s="3" t="s">
        <v>1328</v>
      </c>
      <c r="E206" s="3" t="s">
        <v>1329</v>
      </c>
      <c r="F206" s="2" t="s">
        <v>206</v>
      </c>
      <c r="G206" s="2" t="s">
        <v>21</v>
      </c>
      <c r="H206" s="3" t="s">
        <v>22</v>
      </c>
      <c r="I206" s="3" t="s">
        <v>102</v>
      </c>
      <c r="J206" s="5">
        <v>19147</v>
      </c>
      <c r="K206" s="2" t="s">
        <v>1330</v>
      </c>
      <c r="L206" s="6" t="s">
        <v>1331</v>
      </c>
      <c r="M206" s="6" t="s">
        <v>1332</v>
      </c>
      <c r="N206" s="6" t="s">
        <v>1333</v>
      </c>
      <c r="O206" s="2" t="s">
        <v>27</v>
      </c>
      <c r="P206" s="3"/>
    </row>
    <row r="207" spans="1:16" ht="27">
      <c r="A207" s="2">
        <v>206</v>
      </c>
      <c r="B207" s="3" t="s">
        <v>1320</v>
      </c>
      <c r="C207" s="4" t="s">
        <v>1334</v>
      </c>
      <c r="D207" s="3" t="s">
        <v>1335</v>
      </c>
      <c r="E207" s="3" t="s">
        <v>1336</v>
      </c>
      <c r="F207" s="2" t="s">
        <v>39</v>
      </c>
      <c r="G207" s="2" t="s">
        <v>21</v>
      </c>
      <c r="H207" s="3" t="s">
        <v>22</v>
      </c>
      <c r="I207" s="3" t="s">
        <v>102</v>
      </c>
      <c r="J207" s="5">
        <v>16331</v>
      </c>
      <c r="K207" s="2" t="s">
        <v>48</v>
      </c>
      <c r="L207" s="6" t="s">
        <v>1337</v>
      </c>
      <c r="M207" s="6" t="s">
        <v>1338</v>
      </c>
      <c r="N207" s="6" t="s">
        <v>1339</v>
      </c>
      <c r="O207" s="2" t="s">
        <v>27</v>
      </c>
      <c r="P207" s="3"/>
    </row>
    <row r="208" spans="1:16" ht="27">
      <c r="A208" s="2">
        <v>207</v>
      </c>
      <c r="B208" s="3" t="s">
        <v>1320</v>
      </c>
      <c r="C208" s="4" t="s">
        <v>1340</v>
      </c>
      <c r="D208" s="3" t="s">
        <v>1341</v>
      </c>
      <c r="E208" s="3" t="s">
        <v>1342</v>
      </c>
      <c r="F208" s="2" t="s">
        <v>206</v>
      </c>
      <c r="G208" s="2" t="s">
        <v>21</v>
      </c>
      <c r="H208" s="3" t="s">
        <v>22</v>
      </c>
      <c r="I208" s="3" t="s">
        <v>40</v>
      </c>
      <c r="J208" s="5">
        <v>21964</v>
      </c>
      <c r="K208" s="2" t="s">
        <v>23</v>
      </c>
      <c r="L208" s="6" t="s">
        <v>1343</v>
      </c>
      <c r="M208" s="6" t="s">
        <v>1344</v>
      </c>
      <c r="N208" s="6" t="s">
        <v>1345</v>
      </c>
      <c r="O208" s="2" t="s">
        <v>27</v>
      </c>
      <c r="P208" s="3"/>
    </row>
    <row r="209" spans="1:16">
      <c r="A209" s="2">
        <v>208</v>
      </c>
      <c r="B209" s="3" t="s">
        <v>1320</v>
      </c>
      <c r="C209" s="4" t="s">
        <v>1346</v>
      </c>
      <c r="D209" s="3" t="s">
        <v>1347</v>
      </c>
      <c r="E209" s="3" t="s">
        <v>1348</v>
      </c>
      <c r="F209" s="2" t="s">
        <v>39</v>
      </c>
      <c r="G209" s="2" t="s">
        <v>21</v>
      </c>
      <c r="H209" s="3" t="s">
        <v>22</v>
      </c>
      <c r="I209" s="3" t="s">
        <v>102</v>
      </c>
      <c r="J209" s="5">
        <v>19208</v>
      </c>
      <c r="K209" s="2" t="s">
        <v>23</v>
      </c>
      <c r="L209" s="6" t="s">
        <v>1349</v>
      </c>
      <c r="M209" s="6" t="s">
        <v>1350</v>
      </c>
      <c r="N209" s="6" t="s">
        <v>1351</v>
      </c>
      <c r="O209" s="2" t="s">
        <v>27</v>
      </c>
      <c r="P209" s="3"/>
    </row>
    <row r="210" spans="1:16">
      <c r="A210" s="2">
        <v>209</v>
      </c>
      <c r="B210" s="3" t="s">
        <v>1320</v>
      </c>
      <c r="C210" s="4" t="s">
        <v>1352</v>
      </c>
      <c r="D210" s="3" t="s">
        <v>1353</v>
      </c>
      <c r="E210" s="3" t="s">
        <v>1354</v>
      </c>
      <c r="F210" s="2" t="s">
        <v>20</v>
      </c>
      <c r="G210" s="2" t="s">
        <v>21</v>
      </c>
      <c r="H210" s="3" t="s">
        <v>22</v>
      </c>
      <c r="I210" s="3" t="s">
        <v>40</v>
      </c>
      <c r="J210" s="5">
        <v>14862</v>
      </c>
      <c r="K210" s="2" t="s">
        <v>1355</v>
      </c>
      <c r="L210" s="6" t="s">
        <v>1356</v>
      </c>
      <c r="M210" s="6" t="s">
        <v>1356</v>
      </c>
      <c r="N210" s="6" t="s">
        <v>1357</v>
      </c>
      <c r="O210" s="2" t="s">
        <v>27</v>
      </c>
      <c r="P210" s="3"/>
    </row>
    <row r="211" spans="1:16" ht="27">
      <c r="A211" s="2">
        <v>210</v>
      </c>
      <c r="B211" s="3" t="s">
        <v>1320</v>
      </c>
      <c r="C211" s="4" t="s">
        <v>1358</v>
      </c>
      <c r="D211" s="3" t="s">
        <v>1359</v>
      </c>
      <c r="E211" s="3" t="s">
        <v>1360</v>
      </c>
      <c r="F211" s="2" t="s">
        <v>20</v>
      </c>
      <c r="G211" s="2" t="s">
        <v>21</v>
      </c>
      <c r="H211" s="3" t="s">
        <v>1251</v>
      </c>
      <c r="I211" s="3" t="s">
        <v>102</v>
      </c>
      <c r="J211" s="5">
        <v>1737</v>
      </c>
      <c r="K211" s="2" t="s">
        <v>1361</v>
      </c>
      <c r="L211" s="6" t="s">
        <v>1362</v>
      </c>
      <c r="M211" s="6" t="s">
        <v>1362</v>
      </c>
      <c r="N211" s="6" t="s">
        <v>1363</v>
      </c>
      <c r="O211" s="2" t="s">
        <v>27</v>
      </c>
      <c r="P211" s="3"/>
    </row>
    <row r="212" spans="1:16">
      <c r="A212" s="2">
        <v>211</v>
      </c>
      <c r="B212" s="3" t="s">
        <v>1320</v>
      </c>
      <c r="C212" s="4" t="s">
        <v>1364</v>
      </c>
      <c r="D212" s="3" t="s">
        <v>1365</v>
      </c>
      <c r="E212" s="3" t="s">
        <v>1366</v>
      </c>
      <c r="F212" s="2" t="s">
        <v>20</v>
      </c>
      <c r="G212" s="2" t="s">
        <v>21</v>
      </c>
      <c r="H212" s="3" t="s">
        <v>22</v>
      </c>
      <c r="I212" s="3" t="s">
        <v>102</v>
      </c>
      <c r="J212" s="5">
        <v>38750</v>
      </c>
      <c r="K212" s="2" t="s">
        <v>1367</v>
      </c>
      <c r="L212" s="6" t="s">
        <v>1368</v>
      </c>
      <c r="M212" s="6" t="s">
        <v>1368</v>
      </c>
      <c r="N212" s="6" t="s">
        <v>1369</v>
      </c>
      <c r="O212" s="2" t="s">
        <v>27</v>
      </c>
      <c r="P212" s="3"/>
    </row>
    <row r="213" spans="1:16" ht="27">
      <c r="A213" s="2">
        <v>212</v>
      </c>
      <c r="B213" s="3" t="s">
        <v>1320</v>
      </c>
      <c r="C213" s="4" t="s">
        <v>1370</v>
      </c>
      <c r="D213" s="3" t="s">
        <v>1371</v>
      </c>
      <c r="E213" s="3" t="s">
        <v>1372</v>
      </c>
      <c r="F213" s="2" t="s">
        <v>20</v>
      </c>
      <c r="G213" s="2" t="s">
        <v>21</v>
      </c>
      <c r="H213" s="3" t="s">
        <v>22</v>
      </c>
      <c r="I213" s="3" t="s">
        <v>40</v>
      </c>
      <c r="J213" s="5">
        <v>12162</v>
      </c>
      <c r="K213" s="2" t="s">
        <v>48</v>
      </c>
      <c r="L213" s="6" t="s">
        <v>1373</v>
      </c>
      <c r="M213" s="6" t="s">
        <v>1373</v>
      </c>
      <c r="N213" s="6" t="s">
        <v>1374</v>
      </c>
      <c r="O213" s="2" t="s">
        <v>27</v>
      </c>
      <c r="P213" s="3"/>
    </row>
    <row r="214" spans="1:16" ht="27">
      <c r="A214" s="2">
        <v>213</v>
      </c>
      <c r="B214" s="3" t="s">
        <v>1320</v>
      </c>
      <c r="C214" s="4" t="s">
        <v>1375</v>
      </c>
      <c r="D214" s="3" t="s">
        <v>1376</v>
      </c>
      <c r="E214" s="3" t="s">
        <v>1377</v>
      </c>
      <c r="F214" s="2" t="s">
        <v>39</v>
      </c>
      <c r="G214" s="2" t="s">
        <v>248</v>
      </c>
      <c r="H214" s="3" t="s">
        <v>1378</v>
      </c>
      <c r="I214" s="3" t="s">
        <v>40</v>
      </c>
      <c r="J214" s="5">
        <v>2129</v>
      </c>
      <c r="K214" s="2" t="s">
        <v>522</v>
      </c>
      <c r="L214" s="6" t="s">
        <v>1379</v>
      </c>
      <c r="M214" s="6" t="s">
        <v>1380</v>
      </c>
      <c r="N214" s="6" t="s">
        <v>1381</v>
      </c>
      <c r="O214" s="2" t="s">
        <v>27</v>
      </c>
      <c r="P214" s="3" t="s">
        <v>1382</v>
      </c>
    </row>
    <row r="215" spans="1:16" ht="27">
      <c r="A215" s="2">
        <v>214</v>
      </c>
      <c r="B215" s="3" t="s">
        <v>1320</v>
      </c>
      <c r="C215" s="4" t="s">
        <v>1383</v>
      </c>
      <c r="D215" s="3" t="s">
        <v>1384</v>
      </c>
      <c r="E215" s="3" t="s">
        <v>1385</v>
      </c>
      <c r="F215" s="2" t="s">
        <v>39</v>
      </c>
      <c r="G215" s="2" t="s">
        <v>248</v>
      </c>
      <c r="H215" s="3" t="s">
        <v>1386</v>
      </c>
      <c r="I215" s="3" t="s">
        <v>102</v>
      </c>
      <c r="J215" s="5">
        <v>27056</v>
      </c>
      <c r="K215" s="2" t="s">
        <v>23</v>
      </c>
      <c r="L215" s="6" t="s">
        <v>1387</v>
      </c>
      <c r="M215" s="6" t="s">
        <v>1387</v>
      </c>
      <c r="N215" s="6" t="s">
        <v>1388</v>
      </c>
      <c r="O215" s="2" t="s">
        <v>27</v>
      </c>
      <c r="P215" s="3" t="s">
        <v>1389</v>
      </c>
    </row>
    <row r="216" spans="1:16" ht="27">
      <c r="A216" s="2">
        <v>215</v>
      </c>
      <c r="B216" s="3" t="s">
        <v>1320</v>
      </c>
      <c r="C216" s="4" t="s">
        <v>1390</v>
      </c>
      <c r="D216" s="3" t="s">
        <v>1391</v>
      </c>
      <c r="E216" s="3" t="s">
        <v>1392</v>
      </c>
      <c r="F216" s="2" t="s">
        <v>206</v>
      </c>
      <c r="G216" s="2" t="s">
        <v>248</v>
      </c>
      <c r="H216" s="3" t="s">
        <v>825</v>
      </c>
      <c r="I216" s="3" t="s">
        <v>40</v>
      </c>
      <c r="J216" s="5">
        <v>18242</v>
      </c>
      <c r="K216" s="2" t="s">
        <v>23</v>
      </c>
      <c r="L216" s="6" t="s">
        <v>1393</v>
      </c>
      <c r="M216" s="6" t="s">
        <v>1393</v>
      </c>
      <c r="N216" s="6" t="s">
        <v>1394</v>
      </c>
      <c r="O216" s="2" t="s">
        <v>27</v>
      </c>
      <c r="P216" s="3" t="s">
        <v>1395</v>
      </c>
    </row>
    <row r="217" spans="1:16" ht="40.5">
      <c r="A217" s="7">
        <v>216</v>
      </c>
      <c r="B217" s="8" t="s">
        <v>1396</v>
      </c>
      <c r="C217" s="9" t="s">
        <v>1397</v>
      </c>
      <c r="D217" s="8" t="s">
        <v>1398</v>
      </c>
      <c r="E217" s="8" t="s">
        <v>1399</v>
      </c>
      <c r="F217" s="7" t="s">
        <v>39</v>
      </c>
      <c r="G217" s="7" t="s">
        <v>21</v>
      </c>
      <c r="H217" s="8" t="s">
        <v>22</v>
      </c>
      <c r="I217" s="8" t="s">
        <v>102</v>
      </c>
      <c r="J217" s="10">
        <v>37126</v>
      </c>
      <c r="K217" s="7" t="s">
        <v>23</v>
      </c>
      <c r="L217" s="11" t="s">
        <v>1400</v>
      </c>
      <c r="M217" s="11" t="s">
        <v>1401</v>
      </c>
      <c r="N217" s="11" t="s">
        <v>1402</v>
      </c>
      <c r="O217" s="7" t="s">
        <v>27</v>
      </c>
      <c r="P217" s="8"/>
    </row>
    <row r="218" spans="1:16" ht="27">
      <c r="A218" s="7">
        <v>217</v>
      </c>
      <c r="B218" s="8" t="s">
        <v>1396</v>
      </c>
      <c r="C218" s="9" t="s">
        <v>1403</v>
      </c>
      <c r="D218" s="8" t="s">
        <v>1404</v>
      </c>
      <c r="E218" s="8" t="s">
        <v>1405</v>
      </c>
      <c r="F218" s="7" t="s">
        <v>39</v>
      </c>
      <c r="G218" s="7" t="s">
        <v>21</v>
      </c>
      <c r="H218" s="8" t="s">
        <v>22</v>
      </c>
      <c r="I218" s="8" t="s">
        <v>40</v>
      </c>
      <c r="J218" s="10">
        <v>3323</v>
      </c>
      <c r="K218" s="7" t="s">
        <v>1406</v>
      </c>
      <c r="L218" s="11" t="s">
        <v>1407</v>
      </c>
      <c r="M218" s="11" t="s">
        <v>1408</v>
      </c>
      <c r="N218" s="11" t="s">
        <v>1407</v>
      </c>
      <c r="O218" s="7" t="s">
        <v>27</v>
      </c>
      <c r="P218" s="8"/>
    </row>
    <row r="219" spans="1:16" ht="27">
      <c r="A219" s="7">
        <v>218</v>
      </c>
      <c r="B219" s="8" t="s">
        <v>1396</v>
      </c>
      <c r="C219" s="9" t="s">
        <v>1409</v>
      </c>
      <c r="D219" s="8" t="s">
        <v>1410</v>
      </c>
      <c r="E219" s="8" t="s">
        <v>1411</v>
      </c>
      <c r="F219" s="7" t="s">
        <v>206</v>
      </c>
      <c r="G219" s="7" t="s">
        <v>21</v>
      </c>
      <c r="H219" s="8" t="s">
        <v>22</v>
      </c>
      <c r="I219" s="8" t="s">
        <v>102</v>
      </c>
      <c r="J219" s="10">
        <v>91010</v>
      </c>
      <c r="K219" s="7" t="s">
        <v>23</v>
      </c>
      <c r="L219" s="11" t="s">
        <v>1412</v>
      </c>
      <c r="M219" s="11" t="s">
        <v>1412</v>
      </c>
      <c r="N219" s="11" t="s">
        <v>1413</v>
      </c>
      <c r="O219" s="7" t="s">
        <v>27</v>
      </c>
      <c r="P219" s="8"/>
    </row>
    <row r="220" spans="1:16" ht="27">
      <c r="A220" s="7">
        <v>219</v>
      </c>
      <c r="B220" s="8" t="s">
        <v>1396</v>
      </c>
      <c r="C220" s="9" t="s">
        <v>1414</v>
      </c>
      <c r="D220" s="8" t="s">
        <v>1415</v>
      </c>
      <c r="E220" s="8" t="s">
        <v>1416</v>
      </c>
      <c r="F220" s="7" t="s">
        <v>39</v>
      </c>
      <c r="G220" s="7" t="s">
        <v>21</v>
      </c>
      <c r="H220" s="8" t="s">
        <v>1417</v>
      </c>
      <c r="I220" s="8" t="s">
        <v>40</v>
      </c>
      <c r="J220" s="10">
        <v>2740</v>
      </c>
      <c r="K220" s="7" t="s">
        <v>1418</v>
      </c>
      <c r="L220" s="11" t="s">
        <v>1419</v>
      </c>
      <c r="M220" s="11" t="s">
        <v>1420</v>
      </c>
      <c r="N220" s="11" t="s">
        <v>1421</v>
      </c>
      <c r="O220" s="7" t="s">
        <v>27</v>
      </c>
      <c r="P220" s="8"/>
    </row>
    <row r="221" spans="1:16">
      <c r="A221" s="7">
        <v>220</v>
      </c>
      <c r="B221" s="8" t="s">
        <v>1396</v>
      </c>
      <c r="C221" s="9" t="s">
        <v>1422</v>
      </c>
      <c r="D221" s="8" t="s">
        <v>1423</v>
      </c>
      <c r="E221" s="8" t="s">
        <v>1424</v>
      </c>
      <c r="F221" s="7" t="s">
        <v>39</v>
      </c>
      <c r="G221" s="7" t="s">
        <v>21</v>
      </c>
      <c r="H221" s="8" t="s">
        <v>1417</v>
      </c>
      <c r="I221" s="8" t="s">
        <v>40</v>
      </c>
      <c r="J221" s="10">
        <v>5996</v>
      </c>
      <c r="K221" s="7" t="s">
        <v>1425</v>
      </c>
      <c r="L221" s="11" t="s">
        <v>1426</v>
      </c>
      <c r="M221" s="11" t="s">
        <v>1426</v>
      </c>
      <c r="N221" s="11" t="s">
        <v>1427</v>
      </c>
      <c r="O221" s="7" t="s">
        <v>27</v>
      </c>
      <c r="P221" s="8"/>
    </row>
    <row r="222" spans="1:16" ht="27">
      <c r="A222" s="7">
        <v>221</v>
      </c>
      <c r="B222" s="8" t="s">
        <v>1396</v>
      </c>
      <c r="C222" s="9" t="s">
        <v>1428</v>
      </c>
      <c r="D222" s="8" t="s">
        <v>1429</v>
      </c>
      <c r="E222" s="8" t="s">
        <v>1430</v>
      </c>
      <c r="F222" s="7" t="s">
        <v>206</v>
      </c>
      <c r="G222" s="7" t="s">
        <v>21</v>
      </c>
      <c r="H222" s="8" t="s">
        <v>22</v>
      </c>
      <c r="I222" s="8" t="s">
        <v>40</v>
      </c>
      <c r="J222" s="10">
        <v>1160</v>
      </c>
      <c r="K222" s="7" t="s">
        <v>1431</v>
      </c>
      <c r="L222" s="11" t="s">
        <v>1432</v>
      </c>
      <c r="M222" s="11" t="s">
        <v>1432</v>
      </c>
      <c r="N222" s="11" t="s">
        <v>1433</v>
      </c>
      <c r="O222" s="7" t="s">
        <v>27</v>
      </c>
      <c r="P222" s="8"/>
    </row>
    <row r="223" spans="1:16" ht="27">
      <c r="A223" s="2">
        <v>222</v>
      </c>
      <c r="B223" s="3" t="s">
        <v>1434</v>
      </c>
      <c r="C223" s="4" t="s">
        <v>1435</v>
      </c>
      <c r="D223" s="3" t="s">
        <v>1436</v>
      </c>
      <c r="E223" s="3" t="s">
        <v>1437</v>
      </c>
      <c r="F223" s="2" t="s">
        <v>39</v>
      </c>
      <c r="G223" s="2" t="s">
        <v>110</v>
      </c>
      <c r="H223" s="3" t="s">
        <v>180</v>
      </c>
      <c r="I223" s="3" t="s">
        <v>1438</v>
      </c>
      <c r="J223" s="5">
        <v>61261</v>
      </c>
      <c r="K223" s="2" t="s">
        <v>23</v>
      </c>
      <c r="L223" s="6" t="s">
        <v>1439</v>
      </c>
      <c r="M223" s="6" t="s">
        <v>1440</v>
      </c>
      <c r="N223" s="6" t="s">
        <v>1441</v>
      </c>
      <c r="O223" s="2" t="s">
        <v>27</v>
      </c>
      <c r="P223" s="3"/>
    </row>
    <row r="224" spans="1:16" ht="27">
      <c r="A224" s="2">
        <v>223</v>
      </c>
      <c r="B224" s="3" t="s">
        <v>1434</v>
      </c>
      <c r="C224" s="4" t="s">
        <v>1442</v>
      </c>
      <c r="D224" s="3" t="s">
        <v>1443</v>
      </c>
      <c r="E224" s="3" t="s">
        <v>1444</v>
      </c>
      <c r="F224" s="2" t="s">
        <v>39</v>
      </c>
      <c r="G224" s="2" t="s">
        <v>110</v>
      </c>
      <c r="H224" s="3" t="s">
        <v>1445</v>
      </c>
      <c r="I224" s="3" t="s">
        <v>40</v>
      </c>
      <c r="J224" s="5">
        <v>19210</v>
      </c>
      <c r="K224" s="2" t="s">
        <v>948</v>
      </c>
      <c r="L224" s="6" t="s">
        <v>1446</v>
      </c>
      <c r="M224" s="6" t="s">
        <v>1446</v>
      </c>
      <c r="N224" s="6" t="s">
        <v>1447</v>
      </c>
      <c r="O224" s="2" t="s">
        <v>27</v>
      </c>
      <c r="P224" s="3"/>
    </row>
    <row r="225" spans="1:16">
      <c r="A225" s="2">
        <v>224</v>
      </c>
      <c r="B225" s="3" t="s">
        <v>1434</v>
      </c>
      <c r="C225" s="4" t="s">
        <v>1448</v>
      </c>
      <c r="D225" s="3" t="s">
        <v>1449</v>
      </c>
      <c r="E225" s="3" t="s">
        <v>1450</v>
      </c>
      <c r="F225" s="2" t="s">
        <v>39</v>
      </c>
      <c r="G225" s="2" t="s">
        <v>110</v>
      </c>
      <c r="H225" s="3" t="s">
        <v>1445</v>
      </c>
      <c r="I225" s="3" t="s">
        <v>40</v>
      </c>
      <c r="J225" s="5">
        <v>4071</v>
      </c>
      <c r="K225" s="2" t="s">
        <v>1451</v>
      </c>
      <c r="L225" s="6" t="s">
        <v>1452</v>
      </c>
      <c r="M225" s="6" t="s">
        <v>1452</v>
      </c>
      <c r="N225" s="6" t="s">
        <v>1453</v>
      </c>
      <c r="O225" s="2" t="s">
        <v>27</v>
      </c>
      <c r="P225" s="3"/>
    </row>
    <row r="226" spans="1:16" ht="27">
      <c r="A226" s="2">
        <v>225</v>
      </c>
      <c r="B226" s="3" t="s">
        <v>1434</v>
      </c>
      <c r="C226" s="4" t="s">
        <v>1454</v>
      </c>
      <c r="D226" s="3" t="s">
        <v>1455</v>
      </c>
      <c r="E226" s="3" t="s">
        <v>1456</v>
      </c>
      <c r="F226" s="2" t="s">
        <v>39</v>
      </c>
      <c r="G226" s="2" t="s">
        <v>21</v>
      </c>
      <c r="H226" s="3" t="s">
        <v>22</v>
      </c>
      <c r="I226" s="3" t="s">
        <v>40</v>
      </c>
      <c r="J226" s="5">
        <v>17821</v>
      </c>
      <c r="K226" s="2" t="s">
        <v>48</v>
      </c>
      <c r="L226" s="6" t="s">
        <v>1457</v>
      </c>
      <c r="M226" s="6" t="s">
        <v>1458</v>
      </c>
      <c r="N226" s="6" t="s">
        <v>1459</v>
      </c>
      <c r="O226" s="2" t="s">
        <v>27</v>
      </c>
      <c r="P226" s="3"/>
    </row>
    <row r="227" spans="1:16" ht="27">
      <c r="A227" s="2">
        <v>226</v>
      </c>
      <c r="B227" s="3" t="s">
        <v>1434</v>
      </c>
      <c r="C227" s="4" t="s">
        <v>1460</v>
      </c>
      <c r="D227" s="3" t="s">
        <v>1461</v>
      </c>
      <c r="E227" s="3" t="s">
        <v>1462</v>
      </c>
      <c r="F227" s="2" t="s">
        <v>39</v>
      </c>
      <c r="G227" s="2" t="s">
        <v>21</v>
      </c>
      <c r="H227" s="3" t="s">
        <v>22</v>
      </c>
      <c r="I227" s="3" t="s">
        <v>975</v>
      </c>
      <c r="J227" s="5">
        <v>7220</v>
      </c>
      <c r="K227" s="2" t="s">
        <v>48</v>
      </c>
      <c r="L227" s="6" t="s">
        <v>1463</v>
      </c>
      <c r="M227" s="6" t="s">
        <v>1463</v>
      </c>
      <c r="N227" s="6" t="s">
        <v>1464</v>
      </c>
      <c r="O227" s="2" t="s">
        <v>27</v>
      </c>
      <c r="P227" s="3"/>
    </row>
    <row r="228" spans="1:16">
      <c r="A228" s="2">
        <v>227</v>
      </c>
      <c r="B228" s="3" t="s">
        <v>1434</v>
      </c>
      <c r="C228" s="4" t="s">
        <v>1465</v>
      </c>
      <c r="D228" s="3" t="s">
        <v>1466</v>
      </c>
      <c r="E228" s="3" t="s">
        <v>1467</v>
      </c>
      <c r="F228" s="2" t="s">
        <v>39</v>
      </c>
      <c r="G228" s="2" t="s">
        <v>21</v>
      </c>
      <c r="H228" s="3" t="s">
        <v>22</v>
      </c>
      <c r="I228" s="3" t="s">
        <v>40</v>
      </c>
      <c r="J228" s="5">
        <v>3767</v>
      </c>
      <c r="K228" s="2" t="s">
        <v>1468</v>
      </c>
      <c r="L228" s="6" t="s">
        <v>1469</v>
      </c>
      <c r="M228" s="3" t="s">
        <v>136</v>
      </c>
      <c r="N228" s="6" t="s">
        <v>1469</v>
      </c>
      <c r="O228" s="2" t="s">
        <v>27</v>
      </c>
      <c r="P228" s="3"/>
    </row>
    <row r="229" spans="1:16">
      <c r="A229" s="2">
        <v>228</v>
      </c>
      <c r="B229" s="3" t="s">
        <v>1434</v>
      </c>
      <c r="C229" s="4" t="s">
        <v>1470</v>
      </c>
      <c r="D229" s="3" t="s">
        <v>1471</v>
      </c>
      <c r="E229" s="3" t="s">
        <v>1472</v>
      </c>
      <c r="F229" s="2" t="s">
        <v>20</v>
      </c>
      <c r="G229" s="2" t="s">
        <v>21</v>
      </c>
      <c r="H229" s="3" t="s">
        <v>22</v>
      </c>
      <c r="I229" s="3" t="s">
        <v>40</v>
      </c>
      <c r="J229" s="5">
        <v>4979</v>
      </c>
      <c r="K229" s="2" t="s">
        <v>1473</v>
      </c>
      <c r="L229" s="6" t="s">
        <v>1474</v>
      </c>
      <c r="M229" s="6" t="s">
        <v>1474</v>
      </c>
      <c r="N229" s="6" t="s">
        <v>1475</v>
      </c>
      <c r="O229" s="2" t="s">
        <v>27</v>
      </c>
      <c r="P229" s="3"/>
    </row>
    <row r="230" spans="1:16">
      <c r="A230" s="2">
        <v>229</v>
      </c>
      <c r="B230" s="3" t="s">
        <v>1434</v>
      </c>
      <c r="C230" s="4" t="s">
        <v>1476</v>
      </c>
      <c r="D230" s="3" t="s">
        <v>1477</v>
      </c>
      <c r="E230" s="3" t="s">
        <v>1478</v>
      </c>
      <c r="F230" s="2" t="s">
        <v>20</v>
      </c>
      <c r="G230" s="2" t="s">
        <v>21</v>
      </c>
      <c r="H230" s="3" t="s">
        <v>22</v>
      </c>
      <c r="I230" s="3" t="s">
        <v>102</v>
      </c>
      <c r="J230" s="5">
        <v>39901</v>
      </c>
      <c r="K230" s="2" t="s">
        <v>383</v>
      </c>
      <c r="L230" s="6" t="s">
        <v>1479</v>
      </c>
      <c r="M230" s="6" t="s">
        <v>1479</v>
      </c>
      <c r="N230" s="6" t="s">
        <v>1480</v>
      </c>
      <c r="O230" s="2" t="s">
        <v>27</v>
      </c>
      <c r="P230" s="3"/>
    </row>
    <row r="231" spans="1:16">
      <c r="A231" s="2">
        <v>230</v>
      </c>
      <c r="B231" s="3" t="s">
        <v>1434</v>
      </c>
      <c r="C231" s="4" t="s">
        <v>1481</v>
      </c>
      <c r="D231" s="3" t="s">
        <v>1482</v>
      </c>
      <c r="E231" s="3" t="s">
        <v>1483</v>
      </c>
      <c r="F231" s="2" t="s">
        <v>20</v>
      </c>
      <c r="G231" s="2" t="s">
        <v>21</v>
      </c>
      <c r="H231" s="3" t="s">
        <v>22</v>
      </c>
      <c r="I231" s="3" t="s">
        <v>40</v>
      </c>
      <c r="J231" s="5">
        <v>30019</v>
      </c>
      <c r="K231" s="2" t="s">
        <v>48</v>
      </c>
      <c r="L231" s="6" t="s">
        <v>1484</v>
      </c>
      <c r="M231" s="6" t="s">
        <v>1484</v>
      </c>
      <c r="N231" s="6" t="s">
        <v>1485</v>
      </c>
      <c r="O231" s="2" t="s">
        <v>27</v>
      </c>
      <c r="P231" s="3"/>
    </row>
    <row r="232" spans="1:16">
      <c r="A232" s="2">
        <v>231</v>
      </c>
      <c r="B232" s="3" t="s">
        <v>1434</v>
      </c>
      <c r="C232" s="4" t="s">
        <v>1486</v>
      </c>
      <c r="D232" s="3" t="s">
        <v>1487</v>
      </c>
      <c r="E232" s="3" t="s">
        <v>1488</v>
      </c>
      <c r="F232" s="2" t="s">
        <v>39</v>
      </c>
      <c r="G232" s="2" t="s">
        <v>21</v>
      </c>
      <c r="H232" s="3" t="s">
        <v>22</v>
      </c>
      <c r="I232" s="3" t="s">
        <v>102</v>
      </c>
      <c r="J232" s="5">
        <v>16958</v>
      </c>
      <c r="K232" s="2" t="s">
        <v>23</v>
      </c>
      <c r="L232" s="6" t="s">
        <v>1489</v>
      </c>
      <c r="M232" s="6" t="s">
        <v>1490</v>
      </c>
      <c r="N232" s="6" t="s">
        <v>1489</v>
      </c>
      <c r="O232" s="2" t="s">
        <v>27</v>
      </c>
      <c r="P232" s="3"/>
    </row>
    <row r="233" spans="1:16" ht="27">
      <c r="A233" s="2">
        <v>232</v>
      </c>
      <c r="B233" s="3" t="s">
        <v>1434</v>
      </c>
      <c r="C233" s="4" t="s">
        <v>1491</v>
      </c>
      <c r="D233" s="3" t="s">
        <v>1492</v>
      </c>
      <c r="E233" s="3" t="s">
        <v>1493</v>
      </c>
      <c r="F233" s="2" t="s">
        <v>20</v>
      </c>
      <c r="G233" s="2" t="s">
        <v>21</v>
      </c>
      <c r="H233" s="3" t="s">
        <v>22</v>
      </c>
      <c r="I233" s="3" t="s">
        <v>40</v>
      </c>
      <c r="J233" s="5">
        <v>31926</v>
      </c>
      <c r="K233" s="2" t="s">
        <v>1494</v>
      </c>
      <c r="L233" s="6" t="s">
        <v>1495</v>
      </c>
      <c r="M233" s="6" t="s">
        <v>1495</v>
      </c>
      <c r="N233" s="6" t="s">
        <v>1496</v>
      </c>
      <c r="O233" s="2" t="s">
        <v>27</v>
      </c>
      <c r="P233" s="3"/>
    </row>
    <row r="234" spans="1:16" ht="27">
      <c r="A234" s="2">
        <v>233</v>
      </c>
      <c r="B234" s="3" t="s">
        <v>1434</v>
      </c>
      <c r="C234" s="4" t="s">
        <v>1497</v>
      </c>
      <c r="D234" s="3" t="s">
        <v>1498</v>
      </c>
      <c r="E234" s="3" t="s">
        <v>1499</v>
      </c>
      <c r="F234" s="2" t="s">
        <v>20</v>
      </c>
      <c r="G234" s="2" t="s">
        <v>21</v>
      </c>
      <c r="H234" s="3" t="s">
        <v>22</v>
      </c>
      <c r="I234" s="3" t="s">
        <v>40</v>
      </c>
      <c r="J234" s="5">
        <v>7246</v>
      </c>
      <c r="K234" s="2" t="s">
        <v>843</v>
      </c>
      <c r="L234" s="6" t="s">
        <v>1500</v>
      </c>
      <c r="M234" s="3" t="s">
        <v>136</v>
      </c>
      <c r="N234" s="6" t="s">
        <v>1500</v>
      </c>
      <c r="O234" s="2" t="s">
        <v>27</v>
      </c>
      <c r="P234" s="3"/>
    </row>
    <row r="235" spans="1:16" ht="27">
      <c r="A235" s="7">
        <v>234</v>
      </c>
      <c r="B235" s="8" t="s">
        <v>1501</v>
      </c>
      <c r="C235" s="9" t="s">
        <v>1502</v>
      </c>
      <c r="D235" s="8" t="s">
        <v>1503</v>
      </c>
      <c r="E235" s="8" t="s">
        <v>1504</v>
      </c>
      <c r="F235" s="7" t="s">
        <v>20</v>
      </c>
      <c r="G235" s="7" t="s">
        <v>21</v>
      </c>
      <c r="H235" s="8" t="s">
        <v>22</v>
      </c>
      <c r="I235" s="8" t="s">
        <v>40</v>
      </c>
      <c r="J235" s="10">
        <v>13900</v>
      </c>
      <c r="K235" s="7" t="s">
        <v>1505</v>
      </c>
      <c r="L235" s="11" t="s">
        <v>1506</v>
      </c>
      <c r="M235" s="11" t="s">
        <v>1506</v>
      </c>
      <c r="N235" s="11" t="s">
        <v>1507</v>
      </c>
      <c r="O235" s="7" t="s">
        <v>27</v>
      </c>
      <c r="P235" s="8"/>
    </row>
    <row r="236" spans="1:16">
      <c r="A236" s="7">
        <v>235</v>
      </c>
      <c r="B236" s="8" t="s">
        <v>1501</v>
      </c>
      <c r="C236" s="9" t="s">
        <v>1508</v>
      </c>
      <c r="D236" s="8" t="s">
        <v>1509</v>
      </c>
      <c r="E236" s="8" t="s">
        <v>1510</v>
      </c>
      <c r="F236" s="7" t="s">
        <v>39</v>
      </c>
      <c r="G236" s="7" t="s">
        <v>21</v>
      </c>
      <c r="H236" s="8" t="s">
        <v>22</v>
      </c>
      <c r="I236" s="8" t="s">
        <v>40</v>
      </c>
      <c r="J236" s="10">
        <v>3456</v>
      </c>
      <c r="K236" s="7" t="s">
        <v>1511</v>
      </c>
      <c r="L236" s="11" t="s">
        <v>1512</v>
      </c>
      <c r="M236" s="11" t="s">
        <v>1513</v>
      </c>
      <c r="N236" s="11" t="s">
        <v>1514</v>
      </c>
      <c r="O236" s="7" t="s">
        <v>27</v>
      </c>
      <c r="P236" s="8"/>
    </row>
    <row r="237" spans="1:16" ht="27">
      <c r="A237" s="7">
        <v>236</v>
      </c>
      <c r="B237" s="8" t="s">
        <v>1501</v>
      </c>
      <c r="C237" s="9" t="s">
        <v>1515</v>
      </c>
      <c r="D237" s="8" t="s">
        <v>1516</v>
      </c>
      <c r="E237" s="8" t="s">
        <v>1517</v>
      </c>
      <c r="F237" s="7" t="s">
        <v>20</v>
      </c>
      <c r="G237" s="7" t="s">
        <v>21</v>
      </c>
      <c r="H237" s="8" t="s">
        <v>240</v>
      </c>
      <c r="I237" s="8" t="s">
        <v>40</v>
      </c>
      <c r="J237" s="10">
        <v>1919</v>
      </c>
      <c r="K237" s="7" t="s">
        <v>1518</v>
      </c>
      <c r="L237" s="11" t="s">
        <v>1519</v>
      </c>
      <c r="M237" s="11" t="s">
        <v>1520</v>
      </c>
      <c r="N237" s="11" t="s">
        <v>1519</v>
      </c>
      <c r="O237" s="7" t="s">
        <v>27</v>
      </c>
      <c r="P237" s="8"/>
    </row>
    <row r="238" spans="1:16" ht="27">
      <c r="A238" s="7">
        <v>237</v>
      </c>
      <c r="B238" s="8" t="s">
        <v>1501</v>
      </c>
      <c r="C238" s="9" t="s">
        <v>1521</v>
      </c>
      <c r="D238" s="8" t="s">
        <v>1522</v>
      </c>
      <c r="E238" s="8" t="s">
        <v>1523</v>
      </c>
      <c r="F238" s="7" t="s">
        <v>20</v>
      </c>
      <c r="G238" s="7" t="s">
        <v>21</v>
      </c>
      <c r="H238" s="8" t="s">
        <v>22</v>
      </c>
      <c r="I238" s="8" t="s">
        <v>40</v>
      </c>
      <c r="J238" s="10">
        <v>2386</v>
      </c>
      <c r="K238" s="7" t="s">
        <v>1524</v>
      </c>
      <c r="L238" s="11" t="s">
        <v>1525</v>
      </c>
      <c r="M238" s="11" t="s">
        <v>1526</v>
      </c>
      <c r="N238" s="11" t="s">
        <v>1527</v>
      </c>
      <c r="O238" s="7" t="s">
        <v>27</v>
      </c>
      <c r="P238" s="8"/>
    </row>
    <row r="239" spans="1:16" ht="27">
      <c r="A239" s="7">
        <v>238</v>
      </c>
      <c r="B239" s="8" t="s">
        <v>1501</v>
      </c>
      <c r="C239" s="9" t="s">
        <v>1528</v>
      </c>
      <c r="D239" s="8" t="s">
        <v>1529</v>
      </c>
      <c r="E239" s="8" t="s">
        <v>1530</v>
      </c>
      <c r="F239" s="7" t="s">
        <v>20</v>
      </c>
      <c r="G239" s="7" t="s">
        <v>21</v>
      </c>
      <c r="H239" s="8" t="s">
        <v>22</v>
      </c>
      <c r="I239" s="8" t="s">
        <v>40</v>
      </c>
      <c r="J239" s="10">
        <v>4902</v>
      </c>
      <c r="K239" s="7" t="s">
        <v>1531</v>
      </c>
      <c r="L239" s="11" t="s">
        <v>1532</v>
      </c>
      <c r="M239" s="11" t="s">
        <v>1533</v>
      </c>
      <c r="N239" s="11" t="s">
        <v>1534</v>
      </c>
      <c r="O239" s="7" t="s">
        <v>27</v>
      </c>
      <c r="P239" s="8"/>
    </row>
    <row r="240" spans="1:16" ht="27">
      <c r="A240" s="7">
        <v>239</v>
      </c>
      <c r="B240" s="8" t="s">
        <v>1501</v>
      </c>
      <c r="C240" s="9" t="s">
        <v>1535</v>
      </c>
      <c r="D240" s="8" t="s">
        <v>1536</v>
      </c>
      <c r="E240" s="8" t="s">
        <v>1537</v>
      </c>
      <c r="F240" s="7" t="s">
        <v>20</v>
      </c>
      <c r="G240" s="7" t="s">
        <v>21</v>
      </c>
      <c r="H240" s="8" t="s">
        <v>22</v>
      </c>
      <c r="I240" s="8" t="s">
        <v>102</v>
      </c>
      <c r="J240" s="10">
        <v>2258</v>
      </c>
      <c r="K240" s="7" t="s">
        <v>1538</v>
      </c>
      <c r="L240" s="11" t="s">
        <v>1539</v>
      </c>
      <c r="M240" s="11" t="s">
        <v>1540</v>
      </c>
      <c r="N240" s="11" t="s">
        <v>1541</v>
      </c>
      <c r="O240" s="7" t="s">
        <v>27</v>
      </c>
      <c r="P240" s="8" t="s">
        <v>577</v>
      </c>
    </row>
    <row r="241" spans="1:16" ht="27">
      <c r="A241" s="7">
        <v>240</v>
      </c>
      <c r="B241" s="8" t="s">
        <v>1501</v>
      </c>
      <c r="C241" s="9" t="s">
        <v>1542</v>
      </c>
      <c r="D241" s="8" t="s">
        <v>1543</v>
      </c>
      <c r="E241" s="8" t="s">
        <v>1544</v>
      </c>
      <c r="F241" s="7" t="s">
        <v>20</v>
      </c>
      <c r="G241" s="7" t="s">
        <v>21</v>
      </c>
      <c r="H241" s="8" t="s">
        <v>22</v>
      </c>
      <c r="I241" s="8" t="s">
        <v>40</v>
      </c>
      <c r="J241" s="10">
        <v>25266</v>
      </c>
      <c r="K241" s="7" t="s">
        <v>1545</v>
      </c>
      <c r="L241" s="11" t="s">
        <v>1546</v>
      </c>
      <c r="M241" s="11" t="s">
        <v>1546</v>
      </c>
      <c r="N241" s="11" t="s">
        <v>1547</v>
      </c>
      <c r="O241" s="7" t="s">
        <v>27</v>
      </c>
      <c r="P241" s="8"/>
    </row>
    <row r="242" spans="1:16" ht="27">
      <c r="A242" s="7">
        <v>241</v>
      </c>
      <c r="B242" s="8" t="s">
        <v>1501</v>
      </c>
      <c r="C242" s="9" t="s">
        <v>1548</v>
      </c>
      <c r="D242" s="8" t="s">
        <v>1549</v>
      </c>
      <c r="E242" s="8" t="s">
        <v>1550</v>
      </c>
      <c r="F242" s="7" t="s">
        <v>20</v>
      </c>
      <c r="G242" s="7" t="s">
        <v>21</v>
      </c>
      <c r="H242" s="8" t="s">
        <v>22</v>
      </c>
      <c r="I242" s="8" t="s">
        <v>40</v>
      </c>
      <c r="J242" s="10">
        <v>2533</v>
      </c>
      <c r="K242" s="7" t="s">
        <v>1551</v>
      </c>
      <c r="L242" s="11" t="s">
        <v>1552</v>
      </c>
      <c r="M242" s="11" t="s">
        <v>1552</v>
      </c>
      <c r="N242" s="11" t="s">
        <v>1553</v>
      </c>
      <c r="O242" s="7" t="s">
        <v>27</v>
      </c>
      <c r="P242" s="8"/>
    </row>
    <row r="243" spans="1:16">
      <c r="A243" s="7">
        <v>242</v>
      </c>
      <c r="B243" s="8" t="s">
        <v>1501</v>
      </c>
      <c r="C243" s="9" t="s">
        <v>1554</v>
      </c>
      <c r="D243" s="8" t="s">
        <v>1555</v>
      </c>
      <c r="E243" s="8" t="s">
        <v>1556</v>
      </c>
      <c r="F243" s="7" t="s">
        <v>20</v>
      </c>
      <c r="G243" s="7" t="s">
        <v>21</v>
      </c>
      <c r="H243" s="8" t="s">
        <v>22</v>
      </c>
      <c r="I243" s="8" t="s">
        <v>40</v>
      </c>
      <c r="J243" s="10">
        <v>16696</v>
      </c>
      <c r="K243" s="7" t="s">
        <v>1557</v>
      </c>
      <c r="L243" s="11" t="s">
        <v>1558</v>
      </c>
      <c r="M243" s="11" t="s">
        <v>1558</v>
      </c>
      <c r="N243" s="11" t="s">
        <v>1559</v>
      </c>
      <c r="O243" s="7" t="s">
        <v>27</v>
      </c>
      <c r="P243" s="8"/>
    </row>
    <row r="244" spans="1:16" ht="27">
      <c r="A244" s="7">
        <v>243</v>
      </c>
      <c r="B244" s="8" t="s">
        <v>1501</v>
      </c>
      <c r="C244" s="9" t="s">
        <v>1560</v>
      </c>
      <c r="D244" s="8" t="s">
        <v>1561</v>
      </c>
      <c r="E244" s="8" t="s">
        <v>1562</v>
      </c>
      <c r="F244" s="7" t="s">
        <v>20</v>
      </c>
      <c r="G244" s="7" t="s">
        <v>248</v>
      </c>
      <c r="H244" s="8" t="s">
        <v>22</v>
      </c>
      <c r="I244" s="8" t="s">
        <v>477</v>
      </c>
      <c r="J244" s="10">
        <v>11093</v>
      </c>
      <c r="K244" s="7" t="s">
        <v>1563</v>
      </c>
      <c r="L244" s="11" t="s">
        <v>1564</v>
      </c>
      <c r="M244" s="11" t="s">
        <v>1564</v>
      </c>
      <c r="N244" s="11" t="s">
        <v>1565</v>
      </c>
      <c r="O244" s="7" t="s">
        <v>27</v>
      </c>
      <c r="P244" s="8" t="s">
        <v>481</v>
      </c>
    </row>
    <row r="245" spans="1:16" ht="27">
      <c r="A245" s="7">
        <v>244</v>
      </c>
      <c r="B245" s="8" t="s">
        <v>1501</v>
      </c>
      <c r="C245" s="9" t="s">
        <v>1566</v>
      </c>
      <c r="D245" s="8" t="s">
        <v>1567</v>
      </c>
      <c r="E245" s="8" t="s">
        <v>1568</v>
      </c>
      <c r="F245" s="7" t="s">
        <v>20</v>
      </c>
      <c r="G245" s="7" t="s">
        <v>21</v>
      </c>
      <c r="H245" s="8" t="s">
        <v>22</v>
      </c>
      <c r="I245" s="8" t="s">
        <v>40</v>
      </c>
      <c r="J245" s="10">
        <v>12048</v>
      </c>
      <c r="K245" s="7" t="s">
        <v>23</v>
      </c>
      <c r="L245" s="11" t="s">
        <v>1569</v>
      </c>
      <c r="M245" s="11" t="s">
        <v>1570</v>
      </c>
      <c r="N245" s="11" t="s">
        <v>1569</v>
      </c>
      <c r="O245" s="7" t="s">
        <v>27</v>
      </c>
      <c r="P245" s="8"/>
    </row>
    <row r="246" spans="1:16" ht="27">
      <c r="A246" s="7">
        <v>245</v>
      </c>
      <c r="B246" s="8" t="s">
        <v>1501</v>
      </c>
      <c r="C246" s="9" t="s">
        <v>1571</v>
      </c>
      <c r="D246" s="8" t="s">
        <v>1572</v>
      </c>
      <c r="E246" s="8" t="s">
        <v>1573</v>
      </c>
      <c r="F246" s="7" t="s">
        <v>20</v>
      </c>
      <c r="G246" s="7" t="s">
        <v>21</v>
      </c>
      <c r="H246" s="8" t="s">
        <v>233</v>
      </c>
      <c r="I246" s="8" t="s">
        <v>40</v>
      </c>
      <c r="J246" s="10">
        <v>869</v>
      </c>
      <c r="K246" s="7" t="s">
        <v>1574</v>
      </c>
      <c r="L246" s="11" t="s">
        <v>1575</v>
      </c>
      <c r="M246" s="11" t="s">
        <v>1575</v>
      </c>
      <c r="N246" s="11" t="s">
        <v>1576</v>
      </c>
      <c r="O246" s="7" t="s">
        <v>27</v>
      </c>
      <c r="P246" s="8"/>
    </row>
    <row r="247" spans="1:16" ht="27">
      <c r="A247" s="2">
        <v>246</v>
      </c>
      <c r="B247" s="3" t="s">
        <v>1577</v>
      </c>
      <c r="C247" s="4" t="s">
        <v>1578</v>
      </c>
      <c r="D247" s="3" t="s">
        <v>1579</v>
      </c>
      <c r="E247" s="3" t="s">
        <v>1580</v>
      </c>
      <c r="F247" s="2" t="s">
        <v>20</v>
      </c>
      <c r="G247" s="2" t="s">
        <v>21</v>
      </c>
      <c r="H247" s="3" t="s">
        <v>22</v>
      </c>
      <c r="I247" s="3" t="s">
        <v>102</v>
      </c>
      <c r="J247" s="5">
        <v>53965</v>
      </c>
      <c r="K247" s="2" t="s">
        <v>48</v>
      </c>
      <c r="L247" s="6" t="s">
        <v>1581</v>
      </c>
      <c r="M247" s="6" t="s">
        <v>1582</v>
      </c>
      <c r="N247" s="6" t="s">
        <v>1583</v>
      </c>
      <c r="O247" s="2" t="s">
        <v>27</v>
      </c>
      <c r="P247" s="3"/>
    </row>
    <row r="248" spans="1:16" ht="27">
      <c r="A248" s="2">
        <v>247</v>
      </c>
      <c r="B248" s="3" t="s">
        <v>1577</v>
      </c>
      <c r="C248" s="4" t="s">
        <v>1584</v>
      </c>
      <c r="D248" s="3" t="s">
        <v>1585</v>
      </c>
      <c r="E248" s="3" t="s">
        <v>1586</v>
      </c>
      <c r="F248" s="2" t="s">
        <v>20</v>
      </c>
      <c r="G248" s="2" t="s">
        <v>21</v>
      </c>
      <c r="H248" s="3" t="s">
        <v>22</v>
      </c>
      <c r="I248" s="3" t="s">
        <v>40</v>
      </c>
      <c r="J248" s="5">
        <v>31314</v>
      </c>
      <c r="K248" s="2" t="s">
        <v>23</v>
      </c>
      <c r="L248" s="6" t="s">
        <v>1587</v>
      </c>
      <c r="M248" s="6" t="s">
        <v>1588</v>
      </c>
      <c r="N248" s="6" t="s">
        <v>1587</v>
      </c>
      <c r="O248" s="2" t="s">
        <v>27</v>
      </c>
      <c r="P248" s="3"/>
    </row>
    <row r="249" spans="1:16">
      <c r="A249" s="2">
        <v>248</v>
      </c>
      <c r="B249" s="3" t="s">
        <v>1577</v>
      </c>
      <c r="C249" s="4" t="s">
        <v>1589</v>
      </c>
      <c r="D249" s="3" t="s">
        <v>1590</v>
      </c>
      <c r="E249" s="3" t="s">
        <v>1591</v>
      </c>
      <c r="F249" s="2" t="s">
        <v>39</v>
      </c>
      <c r="G249" s="2" t="s">
        <v>21</v>
      </c>
      <c r="H249" s="3" t="s">
        <v>22</v>
      </c>
      <c r="I249" s="3" t="s">
        <v>40</v>
      </c>
      <c r="J249" s="5">
        <v>8650</v>
      </c>
      <c r="K249" s="2" t="s">
        <v>1592</v>
      </c>
      <c r="L249" s="6" t="s">
        <v>1593</v>
      </c>
      <c r="M249" s="6" t="s">
        <v>1593</v>
      </c>
      <c r="N249" s="6" t="s">
        <v>1594</v>
      </c>
      <c r="O249" s="2" t="s">
        <v>27</v>
      </c>
      <c r="P249" s="3"/>
    </row>
    <row r="250" spans="1:16">
      <c r="A250" s="2">
        <v>249</v>
      </c>
      <c r="B250" s="3" t="s">
        <v>1577</v>
      </c>
      <c r="C250" s="4" t="s">
        <v>1595</v>
      </c>
      <c r="D250" s="3" t="s">
        <v>1596</v>
      </c>
      <c r="E250" s="3" t="s">
        <v>1597</v>
      </c>
      <c r="F250" s="2" t="s">
        <v>20</v>
      </c>
      <c r="G250" s="2" t="s">
        <v>21</v>
      </c>
      <c r="H250" s="3" t="s">
        <v>22</v>
      </c>
      <c r="I250" s="3" t="s">
        <v>102</v>
      </c>
      <c r="J250" s="5"/>
      <c r="K250" s="2"/>
      <c r="L250" s="6" t="s">
        <v>1598</v>
      </c>
      <c r="M250" s="6" t="s">
        <v>1599</v>
      </c>
      <c r="N250" s="6" t="s">
        <v>1600</v>
      </c>
      <c r="O250" s="2" t="s">
        <v>27</v>
      </c>
      <c r="P250" s="3"/>
    </row>
    <row r="251" spans="1:16">
      <c r="A251" s="2">
        <v>250</v>
      </c>
      <c r="B251" s="3" t="s">
        <v>1577</v>
      </c>
      <c r="C251" s="4" t="s">
        <v>1601</v>
      </c>
      <c r="D251" s="3" t="s">
        <v>1602</v>
      </c>
      <c r="E251" s="3" t="s">
        <v>1603</v>
      </c>
      <c r="F251" s="2" t="s">
        <v>39</v>
      </c>
      <c r="G251" s="2" t="s">
        <v>21</v>
      </c>
      <c r="H251" s="3" t="s">
        <v>1604</v>
      </c>
      <c r="I251" s="3" t="s">
        <v>40</v>
      </c>
      <c r="J251" s="5">
        <v>15483</v>
      </c>
      <c r="K251" s="2" t="s">
        <v>1605</v>
      </c>
      <c r="L251" s="6" t="s">
        <v>1606</v>
      </c>
      <c r="M251" s="3" t="s">
        <v>136</v>
      </c>
      <c r="N251" s="6" t="s">
        <v>1606</v>
      </c>
      <c r="O251" s="2" t="s">
        <v>27</v>
      </c>
      <c r="P251" s="3"/>
    </row>
    <row r="252" spans="1:16" ht="27">
      <c r="A252" s="2">
        <v>251</v>
      </c>
      <c r="B252" s="3" t="s">
        <v>1577</v>
      </c>
      <c r="C252" s="4" t="s">
        <v>1607</v>
      </c>
      <c r="D252" s="3" t="s">
        <v>1608</v>
      </c>
      <c r="E252" s="3" t="s">
        <v>1609</v>
      </c>
      <c r="F252" s="2" t="s">
        <v>20</v>
      </c>
      <c r="G252" s="2" t="s">
        <v>21</v>
      </c>
      <c r="H252" s="3" t="s">
        <v>22</v>
      </c>
      <c r="I252" s="3" t="s">
        <v>40</v>
      </c>
      <c r="J252" s="5">
        <v>6205</v>
      </c>
      <c r="K252" s="2" t="s">
        <v>1610</v>
      </c>
      <c r="L252" s="6" t="s">
        <v>1611</v>
      </c>
      <c r="M252" s="6" t="s">
        <v>1612</v>
      </c>
      <c r="N252" s="6" t="s">
        <v>1613</v>
      </c>
      <c r="O252" s="2" t="s">
        <v>27</v>
      </c>
      <c r="P252" s="3"/>
    </row>
    <row r="253" spans="1:16">
      <c r="A253" s="2">
        <v>252</v>
      </c>
      <c r="B253" s="3" t="s">
        <v>1577</v>
      </c>
      <c r="C253" s="4" t="s">
        <v>1614</v>
      </c>
      <c r="D253" s="3" t="s">
        <v>1615</v>
      </c>
      <c r="E253" s="3" t="s">
        <v>1616</v>
      </c>
      <c r="F253" s="2" t="s">
        <v>39</v>
      </c>
      <c r="G253" s="2" t="s">
        <v>21</v>
      </c>
      <c r="H253" s="3" t="s">
        <v>1604</v>
      </c>
      <c r="I253" s="3" t="s">
        <v>40</v>
      </c>
      <c r="J253" s="5">
        <v>5933</v>
      </c>
      <c r="K253" s="2" t="s">
        <v>23</v>
      </c>
      <c r="L253" s="6" t="s">
        <v>1617</v>
      </c>
      <c r="M253" s="6" t="s">
        <v>1617</v>
      </c>
      <c r="N253" s="6" t="s">
        <v>1618</v>
      </c>
      <c r="O253" s="2" t="s">
        <v>27</v>
      </c>
      <c r="P253" s="3"/>
    </row>
    <row r="254" spans="1:16">
      <c r="A254" s="2">
        <v>253</v>
      </c>
      <c r="B254" s="3" t="s">
        <v>1577</v>
      </c>
      <c r="C254" s="4" t="s">
        <v>1619</v>
      </c>
      <c r="D254" s="3" t="s">
        <v>1620</v>
      </c>
      <c r="E254" s="3" t="s">
        <v>1621</v>
      </c>
      <c r="F254" s="2" t="s">
        <v>20</v>
      </c>
      <c r="G254" s="2" t="s">
        <v>21</v>
      </c>
      <c r="H254" s="3" t="s">
        <v>22</v>
      </c>
      <c r="I254" s="3" t="s">
        <v>40</v>
      </c>
      <c r="J254" s="5">
        <v>13579</v>
      </c>
      <c r="K254" s="2" t="s">
        <v>1622</v>
      </c>
      <c r="L254" s="6" t="s">
        <v>1623</v>
      </c>
      <c r="M254" s="6" t="s">
        <v>1624</v>
      </c>
      <c r="N254" s="6" t="s">
        <v>1625</v>
      </c>
      <c r="O254" s="2" t="s">
        <v>27</v>
      </c>
      <c r="P254" s="3"/>
    </row>
    <row r="255" spans="1:16" ht="27">
      <c r="A255" s="2">
        <v>254</v>
      </c>
      <c r="B255" s="3" t="s">
        <v>1577</v>
      </c>
      <c r="C255" s="4" t="s">
        <v>1626</v>
      </c>
      <c r="D255" s="3" t="s">
        <v>1627</v>
      </c>
      <c r="E255" s="3" t="s">
        <v>1628</v>
      </c>
      <c r="F255" s="2" t="s">
        <v>20</v>
      </c>
      <c r="G255" s="2" t="s">
        <v>21</v>
      </c>
      <c r="H255" s="3" t="s">
        <v>22</v>
      </c>
      <c r="I255" s="3" t="s">
        <v>40</v>
      </c>
      <c r="J255" s="5">
        <v>2956</v>
      </c>
      <c r="K255" s="2" t="s">
        <v>1629</v>
      </c>
      <c r="L255" s="6" t="s">
        <v>1630</v>
      </c>
      <c r="M255" s="6" t="s">
        <v>1630</v>
      </c>
      <c r="N255" s="6" t="s">
        <v>1631</v>
      </c>
      <c r="O255" s="2" t="s">
        <v>27</v>
      </c>
      <c r="P255" s="3"/>
    </row>
    <row r="256" spans="1:16">
      <c r="A256" s="2">
        <v>255</v>
      </c>
      <c r="B256" s="3" t="s">
        <v>1577</v>
      </c>
      <c r="C256" s="4" t="s">
        <v>1632</v>
      </c>
      <c r="D256" s="3" t="s">
        <v>1633</v>
      </c>
      <c r="E256" s="3" t="s">
        <v>1634</v>
      </c>
      <c r="F256" s="2" t="s">
        <v>20</v>
      </c>
      <c r="G256" s="2" t="s">
        <v>21</v>
      </c>
      <c r="H256" s="3" t="s">
        <v>22</v>
      </c>
      <c r="I256" s="3" t="s">
        <v>40</v>
      </c>
      <c r="J256" s="5">
        <v>5893</v>
      </c>
      <c r="K256" s="2" t="s">
        <v>1330</v>
      </c>
      <c r="L256" s="6" t="s">
        <v>1635</v>
      </c>
      <c r="M256" s="6" t="s">
        <v>1635</v>
      </c>
      <c r="N256" s="6" t="s">
        <v>1636</v>
      </c>
      <c r="O256" s="2" t="s">
        <v>27</v>
      </c>
      <c r="P256" s="3"/>
    </row>
    <row r="257" spans="1:16" ht="27">
      <c r="A257" s="2">
        <v>256</v>
      </c>
      <c r="B257" s="3" t="s">
        <v>1577</v>
      </c>
      <c r="C257" s="4" t="s">
        <v>1637</v>
      </c>
      <c r="D257" s="3" t="s">
        <v>1638</v>
      </c>
      <c r="E257" s="3" t="s">
        <v>1639</v>
      </c>
      <c r="F257" s="2" t="s">
        <v>20</v>
      </c>
      <c r="G257" s="2" t="s">
        <v>21</v>
      </c>
      <c r="H257" s="3" t="s">
        <v>22</v>
      </c>
      <c r="I257" s="3" t="s">
        <v>102</v>
      </c>
      <c r="J257" s="5">
        <v>6237</v>
      </c>
      <c r="K257" s="2" t="s">
        <v>1640</v>
      </c>
      <c r="L257" s="6" t="s">
        <v>1641</v>
      </c>
      <c r="M257" s="6" t="s">
        <v>1642</v>
      </c>
      <c r="N257" s="6" t="s">
        <v>1641</v>
      </c>
      <c r="O257" s="2" t="s">
        <v>27</v>
      </c>
      <c r="P257" s="3"/>
    </row>
    <row r="258" spans="1:16" ht="27">
      <c r="A258" s="2">
        <v>257</v>
      </c>
      <c r="B258" s="3" t="s">
        <v>1577</v>
      </c>
      <c r="C258" s="4" t="s">
        <v>1643</v>
      </c>
      <c r="D258" s="3" t="s">
        <v>1644</v>
      </c>
      <c r="E258" s="3" t="s">
        <v>1645</v>
      </c>
      <c r="F258" s="2" t="s">
        <v>20</v>
      </c>
      <c r="G258" s="2" t="s">
        <v>21</v>
      </c>
      <c r="H258" s="3" t="s">
        <v>22</v>
      </c>
      <c r="I258" s="3" t="s">
        <v>1646</v>
      </c>
      <c r="J258" s="5">
        <v>10386</v>
      </c>
      <c r="K258" s="2" t="s">
        <v>221</v>
      </c>
      <c r="L258" s="6" t="s">
        <v>1647</v>
      </c>
      <c r="M258" s="6" t="s">
        <v>1647</v>
      </c>
      <c r="N258" s="6" t="s">
        <v>1648</v>
      </c>
      <c r="O258" s="2" t="s">
        <v>27</v>
      </c>
      <c r="P258" s="3"/>
    </row>
    <row r="259" spans="1:16">
      <c r="A259" s="2">
        <v>258</v>
      </c>
      <c r="B259" s="3" t="s">
        <v>1577</v>
      </c>
      <c r="C259" s="4" t="s">
        <v>1649</v>
      </c>
      <c r="D259" s="3" t="s">
        <v>1650</v>
      </c>
      <c r="E259" s="3" t="s">
        <v>1651</v>
      </c>
      <c r="F259" s="2" t="s">
        <v>20</v>
      </c>
      <c r="G259" s="2" t="s">
        <v>21</v>
      </c>
      <c r="H259" s="3" t="s">
        <v>22</v>
      </c>
      <c r="I259" s="3" t="s">
        <v>40</v>
      </c>
      <c r="J259" s="5">
        <v>21975</v>
      </c>
      <c r="K259" s="2" t="s">
        <v>1652</v>
      </c>
      <c r="L259" s="6" t="s">
        <v>1653</v>
      </c>
      <c r="M259" s="3" t="s">
        <v>136</v>
      </c>
      <c r="N259" s="6" t="s">
        <v>1653</v>
      </c>
      <c r="O259" s="2" t="s">
        <v>27</v>
      </c>
      <c r="P259" s="3"/>
    </row>
    <row r="260" spans="1:16">
      <c r="A260" s="7">
        <v>259</v>
      </c>
      <c r="B260" s="8" t="s">
        <v>1654</v>
      </c>
      <c r="C260" s="9" t="s">
        <v>1655</v>
      </c>
      <c r="D260" s="8" t="s">
        <v>1656</v>
      </c>
      <c r="E260" s="8" t="s">
        <v>1657</v>
      </c>
      <c r="F260" s="7" t="s">
        <v>20</v>
      </c>
      <c r="G260" s="7" t="s">
        <v>21</v>
      </c>
      <c r="H260" s="8" t="s">
        <v>22</v>
      </c>
      <c r="I260" s="8" t="s">
        <v>40</v>
      </c>
      <c r="J260" s="10">
        <v>72365</v>
      </c>
      <c r="K260" s="7" t="s">
        <v>818</v>
      </c>
      <c r="L260" s="11" t="s">
        <v>1658</v>
      </c>
      <c r="M260" s="11" t="s">
        <v>1659</v>
      </c>
      <c r="N260" s="11" t="s">
        <v>1660</v>
      </c>
      <c r="O260" s="7" t="s">
        <v>27</v>
      </c>
      <c r="P260" s="8"/>
    </row>
    <row r="261" spans="1:16">
      <c r="A261" s="7">
        <v>260</v>
      </c>
      <c r="B261" s="8" t="s">
        <v>1654</v>
      </c>
      <c r="C261" s="9" t="s">
        <v>1661</v>
      </c>
      <c r="D261" s="8" t="s">
        <v>1662</v>
      </c>
      <c r="E261" s="8" t="s">
        <v>1663</v>
      </c>
      <c r="F261" s="7" t="s">
        <v>39</v>
      </c>
      <c r="G261" s="7" t="s">
        <v>21</v>
      </c>
      <c r="H261" s="8" t="s">
        <v>22</v>
      </c>
      <c r="I261" s="8" t="s">
        <v>40</v>
      </c>
      <c r="J261" s="10">
        <v>38172</v>
      </c>
      <c r="K261" s="7" t="s">
        <v>1664</v>
      </c>
      <c r="L261" s="11" t="s">
        <v>1665</v>
      </c>
      <c r="M261" s="11" t="s">
        <v>1665</v>
      </c>
      <c r="N261" s="11" t="s">
        <v>1666</v>
      </c>
      <c r="O261" s="7" t="s">
        <v>27</v>
      </c>
      <c r="P261" s="8"/>
    </row>
    <row r="262" spans="1:16">
      <c r="A262" s="7">
        <v>261</v>
      </c>
      <c r="B262" s="8" t="s">
        <v>1654</v>
      </c>
      <c r="C262" s="9" t="s">
        <v>1667</v>
      </c>
      <c r="D262" s="8" t="s">
        <v>1668</v>
      </c>
      <c r="E262" s="8" t="s">
        <v>1669</v>
      </c>
      <c r="F262" s="7" t="s">
        <v>39</v>
      </c>
      <c r="G262" s="7" t="s">
        <v>110</v>
      </c>
      <c r="H262" s="8" t="s">
        <v>199</v>
      </c>
      <c r="I262" s="8" t="s">
        <v>40</v>
      </c>
      <c r="J262" s="10">
        <v>48892</v>
      </c>
      <c r="K262" s="7" t="s">
        <v>383</v>
      </c>
      <c r="L262" s="11" t="s">
        <v>1670</v>
      </c>
      <c r="M262" s="11" t="s">
        <v>1671</v>
      </c>
      <c r="N262" s="11" t="s">
        <v>1672</v>
      </c>
      <c r="O262" s="7" t="s">
        <v>27</v>
      </c>
      <c r="P262" s="8"/>
    </row>
    <row r="263" spans="1:16">
      <c r="A263" s="7">
        <v>262</v>
      </c>
      <c r="B263" s="8" t="s">
        <v>1654</v>
      </c>
      <c r="C263" s="9" t="s">
        <v>1673</v>
      </c>
      <c r="D263" s="8" t="s">
        <v>1674</v>
      </c>
      <c r="E263" s="8" t="s">
        <v>1675</v>
      </c>
      <c r="F263" s="7" t="s">
        <v>20</v>
      </c>
      <c r="G263" s="7" t="s">
        <v>110</v>
      </c>
      <c r="H263" s="8" t="s">
        <v>1676</v>
      </c>
      <c r="I263" s="8" t="s">
        <v>40</v>
      </c>
      <c r="J263" s="10">
        <v>12580</v>
      </c>
      <c r="K263" s="7" t="s">
        <v>1677</v>
      </c>
      <c r="L263" s="11" t="s">
        <v>1678</v>
      </c>
      <c r="M263" s="11" t="s">
        <v>1678</v>
      </c>
      <c r="N263" s="11" t="s">
        <v>1679</v>
      </c>
      <c r="O263" s="7" t="s">
        <v>27</v>
      </c>
      <c r="P263" s="8"/>
    </row>
    <row r="264" spans="1:16" ht="27">
      <c r="A264" s="7">
        <v>263</v>
      </c>
      <c r="B264" s="8" t="s">
        <v>1654</v>
      </c>
      <c r="C264" s="9" t="s">
        <v>1680</v>
      </c>
      <c r="D264" s="8" t="s">
        <v>1681</v>
      </c>
      <c r="E264" s="8" t="s">
        <v>1682</v>
      </c>
      <c r="F264" s="7" t="s">
        <v>20</v>
      </c>
      <c r="G264" s="7" t="s">
        <v>21</v>
      </c>
      <c r="H264" s="8" t="s">
        <v>22</v>
      </c>
      <c r="I264" s="8" t="s">
        <v>118</v>
      </c>
      <c r="J264" s="10">
        <v>13818</v>
      </c>
      <c r="K264" s="7" t="s">
        <v>522</v>
      </c>
      <c r="L264" s="11" t="s">
        <v>1683</v>
      </c>
      <c r="M264" s="11" t="s">
        <v>1683</v>
      </c>
      <c r="N264" s="11" t="s">
        <v>1684</v>
      </c>
      <c r="O264" s="7" t="s">
        <v>27</v>
      </c>
      <c r="P264" s="8" t="s">
        <v>481</v>
      </c>
    </row>
    <row r="265" spans="1:16">
      <c r="A265" s="7">
        <v>264</v>
      </c>
      <c r="B265" s="8" t="s">
        <v>1654</v>
      </c>
      <c r="C265" s="9" t="s">
        <v>1685</v>
      </c>
      <c r="D265" s="8" t="s">
        <v>1686</v>
      </c>
      <c r="E265" s="8" t="s">
        <v>1687</v>
      </c>
      <c r="F265" s="7" t="s">
        <v>20</v>
      </c>
      <c r="G265" s="7" t="s">
        <v>21</v>
      </c>
      <c r="H265" s="8" t="s">
        <v>22</v>
      </c>
      <c r="I265" s="8" t="s">
        <v>40</v>
      </c>
      <c r="J265" s="10">
        <v>26866</v>
      </c>
      <c r="K265" s="7" t="s">
        <v>1688</v>
      </c>
      <c r="L265" s="11" t="s">
        <v>1689</v>
      </c>
      <c r="M265" s="11" t="s">
        <v>1689</v>
      </c>
      <c r="N265" s="11" t="s">
        <v>1690</v>
      </c>
      <c r="O265" s="7" t="s">
        <v>27</v>
      </c>
      <c r="P265" s="8"/>
    </row>
    <row r="266" spans="1:16" ht="27">
      <c r="A266" s="7">
        <v>265</v>
      </c>
      <c r="B266" s="8" t="s">
        <v>1654</v>
      </c>
      <c r="C266" s="9" t="s">
        <v>1691</v>
      </c>
      <c r="D266" s="8" t="s">
        <v>1692</v>
      </c>
      <c r="E266" s="8" t="s">
        <v>1693</v>
      </c>
      <c r="F266" s="7" t="s">
        <v>20</v>
      </c>
      <c r="G266" s="7" t="s">
        <v>248</v>
      </c>
      <c r="H266" s="8" t="s">
        <v>22</v>
      </c>
      <c r="I266" s="8" t="s">
        <v>118</v>
      </c>
      <c r="J266" s="10">
        <v>23461</v>
      </c>
      <c r="K266" s="7" t="s">
        <v>792</v>
      </c>
      <c r="L266" s="11" t="s">
        <v>1694</v>
      </c>
      <c r="M266" s="11" t="s">
        <v>1694</v>
      </c>
      <c r="N266" s="11" t="s">
        <v>1695</v>
      </c>
      <c r="O266" s="7" t="s">
        <v>27</v>
      </c>
      <c r="P266" s="8" t="s">
        <v>481</v>
      </c>
    </row>
    <row r="267" spans="1:16">
      <c r="A267" s="2">
        <v>266</v>
      </c>
      <c r="B267" s="3" t="s">
        <v>1696</v>
      </c>
      <c r="C267" s="4" t="s">
        <v>1697</v>
      </c>
      <c r="D267" s="3" t="s">
        <v>1698</v>
      </c>
      <c r="E267" s="3" t="s">
        <v>1699</v>
      </c>
      <c r="F267" s="2" t="s">
        <v>20</v>
      </c>
      <c r="G267" s="2" t="s">
        <v>21</v>
      </c>
      <c r="H267" s="3" t="s">
        <v>22</v>
      </c>
      <c r="I267" s="3" t="s">
        <v>40</v>
      </c>
      <c r="J267" s="5">
        <v>20412</v>
      </c>
      <c r="K267" s="2" t="s">
        <v>23</v>
      </c>
      <c r="L267" s="6" t="s">
        <v>1700</v>
      </c>
      <c r="M267" s="6" t="s">
        <v>1700</v>
      </c>
      <c r="N267" s="6" t="s">
        <v>1701</v>
      </c>
      <c r="O267" s="2" t="s">
        <v>27</v>
      </c>
      <c r="P267" s="3"/>
    </row>
    <row r="268" spans="1:16">
      <c r="A268" s="2">
        <v>267</v>
      </c>
      <c r="B268" s="3" t="s">
        <v>1696</v>
      </c>
      <c r="C268" s="4" t="s">
        <v>1702</v>
      </c>
      <c r="D268" s="3" t="s">
        <v>1703</v>
      </c>
      <c r="E268" s="3" t="s">
        <v>1704</v>
      </c>
      <c r="F268" s="2" t="s">
        <v>20</v>
      </c>
      <c r="G268" s="2" t="s">
        <v>21</v>
      </c>
      <c r="H268" s="3" t="s">
        <v>22</v>
      </c>
      <c r="I268" s="3" t="s">
        <v>102</v>
      </c>
      <c r="J268" s="5">
        <v>10923</v>
      </c>
      <c r="K268" s="2" t="s">
        <v>1705</v>
      </c>
      <c r="L268" s="6" t="s">
        <v>1706</v>
      </c>
      <c r="M268" s="6" t="s">
        <v>1707</v>
      </c>
      <c r="N268" s="6" t="s">
        <v>1708</v>
      </c>
      <c r="O268" s="2" t="s">
        <v>27</v>
      </c>
      <c r="P268" s="3"/>
    </row>
    <row r="269" spans="1:16">
      <c r="A269" s="2">
        <v>268</v>
      </c>
      <c r="B269" s="3" t="s">
        <v>1696</v>
      </c>
      <c r="C269" s="4" t="s">
        <v>1709</v>
      </c>
      <c r="D269" s="3" t="s">
        <v>1710</v>
      </c>
      <c r="E269" s="3" t="s">
        <v>1711</v>
      </c>
      <c r="F269" s="2" t="s">
        <v>39</v>
      </c>
      <c r="G269" s="2" t="s">
        <v>21</v>
      </c>
      <c r="H269" s="3" t="s">
        <v>22</v>
      </c>
      <c r="I269" s="3" t="s">
        <v>31</v>
      </c>
      <c r="J269" s="5">
        <v>1464</v>
      </c>
      <c r="K269" s="2" t="s">
        <v>23</v>
      </c>
      <c r="L269" s="6" t="s">
        <v>1712</v>
      </c>
      <c r="M269" s="6" t="s">
        <v>1713</v>
      </c>
      <c r="N269" s="6" t="s">
        <v>1714</v>
      </c>
      <c r="O269" s="2" t="s">
        <v>27</v>
      </c>
      <c r="P269" s="3"/>
    </row>
    <row r="270" spans="1:16" ht="27">
      <c r="A270" s="2">
        <v>269</v>
      </c>
      <c r="B270" s="3" t="s">
        <v>1696</v>
      </c>
      <c r="C270" s="4" t="s">
        <v>1715</v>
      </c>
      <c r="D270" s="3" t="s">
        <v>1716</v>
      </c>
      <c r="E270" s="3" t="s">
        <v>1717</v>
      </c>
      <c r="F270" s="2" t="s">
        <v>20</v>
      </c>
      <c r="G270" s="2" t="s">
        <v>110</v>
      </c>
      <c r="H270" s="3" t="s">
        <v>974</v>
      </c>
      <c r="I270" s="3" t="s">
        <v>1718</v>
      </c>
      <c r="J270" s="5">
        <v>2343</v>
      </c>
      <c r="K270" s="2" t="s">
        <v>48</v>
      </c>
      <c r="L270" s="6" t="s">
        <v>1719</v>
      </c>
      <c r="M270" s="6" t="s">
        <v>1720</v>
      </c>
      <c r="N270" s="6" t="s">
        <v>1721</v>
      </c>
      <c r="O270" s="2" t="s">
        <v>27</v>
      </c>
      <c r="P270" s="3"/>
    </row>
    <row r="271" spans="1:16">
      <c r="A271" s="2">
        <v>270</v>
      </c>
      <c r="B271" s="3" t="s">
        <v>1696</v>
      </c>
      <c r="C271" s="4" t="s">
        <v>1722</v>
      </c>
      <c r="D271" s="3" t="s">
        <v>1723</v>
      </c>
      <c r="E271" s="3" t="s">
        <v>1724</v>
      </c>
      <c r="F271" s="2" t="s">
        <v>20</v>
      </c>
      <c r="G271" s="2" t="s">
        <v>248</v>
      </c>
      <c r="H271" s="3" t="s">
        <v>974</v>
      </c>
      <c r="I271" s="3" t="s">
        <v>1725</v>
      </c>
      <c r="J271" s="5"/>
      <c r="K271" s="2"/>
      <c r="L271" s="6" t="s">
        <v>1726</v>
      </c>
      <c r="M271" s="6" t="s">
        <v>1727</v>
      </c>
      <c r="N271" s="3"/>
      <c r="O271" s="2" t="s">
        <v>27</v>
      </c>
      <c r="P271" s="3"/>
    </row>
    <row r="272" spans="1:16" ht="27">
      <c r="A272" s="2">
        <v>271</v>
      </c>
      <c r="B272" s="3" t="s">
        <v>1696</v>
      </c>
      <c r="C272" s="4" t="s">
        <v>1728</v>
      </c>
      <c r="D272" s="3" t="s">
        <v>1729</v>
      </c>
      <c r="E272" s="3" t="s">
        <v>1730</v>
      </c>
      <c r="F272" s="2" t="s">
        <v>20</v>
      </c>
      <c r="G272" s="2" t="s">
        <v>21</v>
      </c>
      <c r="H272" s="3" t="s">
        <v>22</v>
      </c>
      <c r="I272" s="3" t="s">
        <v>40</v>
      </c>
      <c r="J272" s="5">
        <v>1063</v>
      </c>
      <c r="K272" s="2" t="s">
        <v>23</v>
      </c>
      <c r="L272" s="6" t="s">
        <v>1731</v>
      </c>
      <c r="M272" s="6" t="s">
        <v>1731</v>
      </c>
      <c r="N272" s="6" t="s">
        <v>1732</v>
      </c>
      <c r="O272" s="2" t="s">
        <v>27</v>
      </c>
      <c r="P272" s="3"/>
    </row>
    <row r="273" spans="1:16">
      <c r="A273" s="2">
        <v>272</v>
      </c>
      <c r="B273" s="3" t="s">
        <v>1696</v>
      </c>
      <c r="C273" s="4" t="s">
        <v>1733</v>
      </c>
      <c r="D273" s="3" t="s">
        <v>1734</v>
      </c>
      <c r="E273" s="3" t="s">
        <v>1735</v>
      </c>
      <c r="F273" s="2" t="s">
        <v>39</v>
      </c>
      <c r="G273" s="2" t="s">
        <v>110</v>
      </c>
      <c r="H273" s="3" t="s">
        <v>180</v>
      </c>
      <c r="I273" s="3" t="s">
        <v>40</v>
      </c>
      <c r="J273" s="5">
        <v>3437</v>
      </c>
      <c r="K273" s="2" t="s">
        <v>1736</v>
      </c>
      <c r="L273" s="6" t="s">
        <v>1737</v>
      </c>
      <c r="M273" s="6" t="s">
        <v>1737</v>
      </c>
      <c r="N273" s="6" t="s">
        <v>1738</v>
      </c>
      <c r="O273" s="2" t="s">
        <v>27</v>
      </c>
      <c r="P273" s="3"/>
    </row>
    <row r="274" spans="1:16">
      <c r="A274" s="2">
        <v>273</v>
      </c>
      <c r="B274" s="3" t="s">
        <v>1696</v>
      </c>
      <c r="C274" s="4" t="s">
        <v>1739</v>
      </c>
      <c r="D274" s="3" t="s">
        <v>1740</v>
      </c>
      <c r="E274" s="3" t="s">
        <v>1741</v>
      </c>
      <c r="F274" s="2" t="s">
        <v>20</v>
      </c>
      <c r="G274" s="2" t="s">
        <v>21</v>
      </c>
      <c r="H274" s="3" t="s">
        <v>22</v>
      </c>
      <c r="I274" s="3" t="s">
        <v>102</v>
      </c>
      <c r="J274" s="5">
        <v>15079</v>
      </c>
      <c r="K274" s="2" t="s">
        <v>1505</v>
      </c>
      <c r="L274" s="6" t="s">
        <v>1742</v>
      </c>
      <c r="M274" s="6" t="s">
        <v>1743</v>
      </c>
      <c r="N274" s="6" t="s">
        <v>1744</v>
      </c>
      <c r="O274" s="2" t="s">
        <v>27</v>
      </c>
      <c r="P274" s="3"/>
    </row>
    <row r="275" spans="1:16">
      <c r="A275" s="2">
        <v>274</v>
      </c>
      <c r="B275" s="3" t="s">
        <v>1696</v>
      </c>
      <c r="C275" s="4" t="s">
        <v>1745</v>
      </c>
      <c r="D275" s="3" t="s">
        <v>1746</v>
      </c>
      <c r="E275" s="3" t="s">
        <v>1747</v>
      </c>
      <c r="F275" s="2" t="s">
        <v>20</v>
      </c>
      <c r="G275" s="2" t="s">
        <v>21</v>
      </c>
      <c r="H275" s="3" t="s">
        <v>22</v>
      </c>
      <c r="I275" s="3" t="s">
        <v>804</v>
      </c>
      <c r="J275" s="5">
        <v>1021</v>
      </c>
      <c r="K275" s="2" t="s">
        <v>1055</v>
      </c>
      <c r="L275" s="6" t="s">
        <v>1748</v>
      </c>
      <c r="M275" s="6" t="s">
        <v>1748</v>
      </c>
      <c r="N275" s="6" t="s">
        <v>1749</v>
      </c>
      <c r="O275" s="2" t="s">
        <v>27</v>
      </c>
      <c r="P275" s="3"/>
    </row>
    <row r="276" spans="1:16">
      <c r="A276" s="7">
        <v>275</v>
      </c>
      <c r="B276" s="8" t="s">
        <v>1750</v>
      </c>
      <c r="C276" s="9" t="s">
        <v>1751</v>
      </c>
      <c r="D276" s="8" t="s">
        <v>1752</v>
      </c>
      <c r="E276" s="8" t="s">
        <v>1753</v>
      </c>
      <c r="F276" s="7" t="s">
        <v>20</v>
      </c>
      <c r="G276" s="7" t="s">
        <v>21</v>
      </c>
      <c r="H276" s="8" t="s">
        <v>22</v>
      </c>
      <c r="I276" s="8" t="s">
        <v>40</v>
      </c>
      <c r="J276" s="10">
        <v>31184</v>
      </c>
      <c r="K276" s="7" t="s">
        <v>1754</v>
      </c>
      <c r="L276" s="11" t="s">
        <v>1755</v>
      </c>
      <c r="M276" s="11" t="s">
        <v>1755</v>
      </c>
      <c r="N276" s="11" t="s">
        <v>1756</v>
      </c>
      <c r="O276" s="7" t="s">
        <v>27</v>
      </c>
      <c r="P276" s="8"/>
    </row>
    <row r="277" spans="1:16">
      <c r="A277" s="7">
        <v>276</v>
      </c>
      <c r="B277" s="8" t="s">
        <v>1750</v>
      </c>
      <c r="C277" s="9" t="s">
        <v>1757</v>
      </c>
      <c r="D277" s="8" t="s">
        <v>1758</v>
      </c>
      <c r="E277" s="8" t="s">
        <v>1759</v>
      </c>
      <c r="F277" s="7" t="s">
        <v>39</v>
      </c>
      <c r="G277" s="7" t="s">
        <v>21</v>
      </c>
      <c r="H277" s="8" t="s">
        <v>22</v>
      </c>
      <c r="I277" s="8" t="s">
        <v>40</v>
      </c>
      <c r="J277" s="10">
        <v>12933</v>
      </c>
      <c r="K277" s="7" t="s">
        <v>1760</v>
      </c>
      <c r="L277" s="11" t="s">
        <v>1761</v>
      </c>
      <c r="M277" s="11" t="s">
        <v>1761</v>
      </c>
      <c r="N277" s="11" t="s">
        <v>1762</v>
      </c>
      <c r="O277" s="7" t="s">
        <v>27</v>
      </c>
      <c r="P277" s="8"/>
    </row>
    <row r="278" spans="1:16">
      <c r="A278" s="7">
        <v>277</v>
      </c>
      <c r="B278" s="8" t="s">
        <v>1750</v>
      </c>
      <c r="C278" s="9" t="s">
        <v>1763</v>
      </c>
      <c r="D278" s="8" t="s">
        <v>1764</v>
      </c>
      <c r="E278" s="8" t="s">
        <v>1765</v>
      </c>
      <c r="F278" s="7" t="s">
        <v>20</v>
      </c>
      <c r="G278" s="7" t="s">
        <v>21</v>
      </c>
      <c r="H278" s="8" t="s">
        <v>22</v>
      </c>
      <c r="I278" s="8" t="s">
        <v>40</v>
      </c>
      <c r="J278" s="10">
        <v>24335</v>
      </c>
      <c r="K278" s="7" t="s">
        <v>1766</v>
      </c>
      <c r="L278" s="11" t="s">
        <v>1767</v>
      </c>
      <c r="M278" s="11" t="s">
        <v>1767</v>
      </c>
      <c r="N278" s="11" t="s">
        <v>1768</v>
      </c>
      <c r="O278" s="7" t="s">
        <v>27</v>
      </c>
      <c r="P278" s="8"/>
    </row>
    <row r="279" spans="1:16" ht="27">
      <c r="A279" s="7">
        <v>278</v>
      </c>
      <c r="B279" s="8" t="s">
        <v>1750</v>
      </c>
      <c r="C279" s="9" t="s">
        <v>1769</v>
      </c>
      <c r="D279" s="8" t="s">
        <v>1770</v>
      </c>
      <c r="E279" s="8" t="s">
        <v>1771</v>
      </c>
      <c r="F279" s="7" t="s">
        <v>20</v>
      </c>
      <c r="G279" s="7" t="s">
        <v>21</v>
      </c>
      <c r="H279" s="8" t="s">
        <v>22</v>
      </c>
      <c r="I279" s="8" t="s">
        <v>40</v>
      </c>
      <c r="J279" s="10">
        <v>12240</v>
      </c>
      <c r="K279" s="7" t="s">
        <v>1772</v>
      </c>
      <c r="L279" s="11" t="s">
        <v>1773</v>
      </c>
      <c r="M279" s="11" t="s">
        <v>1773</v>
      </c>
      <c r="N279" s="11" t="s">
        <v>1774</v>
      </c>
      <c r="O279" s="7" t="s">
        <v>27</v>
      </c>
      <c r="P279" s="8" t="s">
        <v>1775</v>
      </c>
    </row>
    <row r="280" spans="1:16" ht="27">
      <c r="A280" s="7">
        <v>279</v>
      </c>
      <c r="B280" s="8" t="s">
        <v>1750</v>
      </c>
      <c r="C280" s="9" t="s">
        <v>1776</v>
      </c>
      <c r="D280" s="8" t="s">
        <v>1777</v>
      </c>
      <c r="E280" s="8" t="s">
        <v>1778</v>
      </c>
      <c r="F280" s="7" t="s">
        <v>39</v>
      </c>
      <c r="G280" s="7" t="s">
        <v>21</v>
      </c>
      <c r="H280" s="8" t="s">
        <v>55</v>
      </c>
      <c r="I280" s="8" t="s">
        <v>40</v>
      </c>
      <c r="J280" s="10">
        <v>32751</v>
      </c>
      <c r="K280" s="7" t="s">
        <v>522</v>
      </c>
      <c r="L280" s="11" t="s">
        <v>1779</v>
      </c>
      <c r="M280" s="11" t="s">
        <v>1779</v>
      </c>
      <c r="N280" s="11" t="s">
        <v>1780</v>
      </c>
      <c r="O280" s="7" t="s">
        <v>27</v>
      </c>
      <c r="P280" s="8"/>
    </row>
    <row r="281" spans="1:16" ht="27">
      <c r="A281" s="7">
        <v>280</v>
      </c>
      <c r="B281" s="8" t="s">
        <v>1750</v>
      </c>
      <c r="C281" s="9" t="s">
        <v>1781</v>
      </c>
      <c r="D281" s="8" t="s">
        <v>1782</v>
      </c>
      <c r="E281" s="8" t="s">
        <v>1783</v>
      </c>
      <c r="F281" s="7" t="s">
        <v>20</v>
      </c>
      <c r="G281" s="7" t="s">
        <v>21</v>
      </c>
      <c r="H281" s="8" t="s">
        <v>22</v>
      </c>
      <c r="I281" s="8" t="s">
        <v>40</v>
      </c>
      <c r="J281" s="10">
        <v>18102</v>
      </c>
      <c r="K281" s="7" t="s">
        <v>818</v>
      </c>
      <c r="L281" s="11" t="s">
        <v>1784</v>
      </c>
      <c r="M281" s="11" t="s">
        <v>1784</v>
      </c>
      <c r="N281" s="11" t="s">
        <v>1785</v>
      </c>
      <c r="O281" s="7" t="s">
        <v>27</v>
      </c>
      <c r="P281" s="8"/>
    </row>
    <row r="282" spans="1:16">
      <c r="A282" s="7">
        <v>281</v>
      </c>
      <c r="B282" s="8" t="s">
        <v>1750</v>
      </c>
      <c r="C282" s="9" t="s">
        <v>1786</v>
      </c>
      <c r="D282" s="8" t="s">
        <v>1787</v>
      </c>
      <c r="E282" s="8" t="s">
        <v>1788</v>
      </c>
      <c r="F282" s="7" t="s">
        <v>20</v>
      </c>
      <c r="G282" s="7" t="s">
        <v>21</v>
      </c>
      <c r="H282" s="8" t="s">
        <v>22</v>
      </c>
      <c r="I282" s="8" t="s">
        <v>40</v>
      </c>
      <c r="J282" s="10">
        <v>2541</v>
      </c>
      <c r="K282" s="7" t="s">
        <v>1789</v>
      </c>
      <c r="L282" s="11" t="s">
        <v>1790</v>
      </c>
      <c r="M282" s="11" t="s">
        <v>1790</v>
      </c>
      <c r="N282" s="11" t="s">
        <v>1791</v>
      </c>
      <c r="O282" s="7" t="s">
        <v>27</v>
      </c>
      <c r="P282" s="8"/>
    </row>
    <row r="283" spans="1:16">
      <c r="A283" s="7">
        <v>282</v>
      </c>
      <c r="B283" s="8" t="s">
        <v>1750</v>
      </c>
      <c r="C283" s="9" t="s">
        <v>1792</v>
      </c>
      <c r="D283" s="8" t="s">
        <v>1793</v>
      </c>
      <c r="E283" s="8" t="s">
        <v>1794</v>
      </c>
      <c r="F283" s="7" t="s">
        <v>20</v>
      </c>
      <c r="G283" s="7" t="s">
        <v>21</v>
      </c>
      <c r="H283" s="8" t="s">
        <v>22</v>
      </c>
      <c r="I283" s="8" t="s">
        <v>40</v>
      </c>
      <c r="J283" s="10">
        <v>16466</v>
      </c>
      <c r="K283" s="7" t="s">
        <v>1795</v>
      </c>
      <c r="L283" s="11" t="s">
        <v>1796</v>
      </c>
      <c r="M283" s="11" t="s">
        <v>1797</v>
      </c>
      <c r="N283" s="11" t="s">
        <v>1798</v>
      </c>
      <c r="O283" s="7" t="s">
        <v>27</v>
      </c>
      <c r="P283" s="8"/>
    </row>
    <row r="284" spans="1:16">
      <c r="A284" s="7">
        <v>283</v>
      </c>
      <c r="B284" s="8" t="s">
        <v>1750</v>
      </c>
      <c r="C284" s="9" t="s">
        <v>1799</v>
      </c>
      <c r="D284" s="8" t="s">
        <v>1800</v>
      </c>
      <c r="E284" s="8" t="s">
        <v>1801</v>
      </c>
      <c r="F284" s="7" t="s">
        <v>39</v>
      </c>
      <c r="G284" s="7" t="s">
        <v>21</v>
      </c>
      <c r="H284" s="8" t="s">
        <v>22</v>
      </c>
      <c r="I284" s="8" t="s">
        <v>40</v>
      </c>
      <c r="J284" s="10">
        <v>9149</v>
      </c>
      <c r="K284" s="7" t="s">
        <v>48</v>
      </c>
      <c r="L284" s="11" t="s">
        <v>1802</v>
      </c>
      <c r="M284" s="11" t="s">
        <v>1803</v>
      </c>
      <c r="N284" s="11" t="s">
        <v>1804</v>
      </c>
      <c r="O284" s="7" t="s">
        <v>27</v>
      </c>
      <c r="P284" s="8"/>
    </row>
    <row r="285" spans="1:16">
      <c r="A285" s="7">
        <v>284</v>
      </c>
      <c r="B285" s="8" t="s">
        <v>1750</v>
      </c>
      <c r="C285" s="9" t="s">
        <v>1805</v>
      </c>
      <c r="D285" s="8" t="s">
        <v>1806</v>
      </c>
      <c r="E285" s="8" t="s">
        <v>1807</v>
      </c>
      <c r="F285" s="7" t="s">
        <v>20</v>
      </c>
      <c r="G285" s="7" t="s">
        <v>21</v>
      </c>
      <c r="H285" s="8" t="s">
        <v>22</v>
      </c>
      <c r="I285" s="8" t="s">
        <v>40</v>
      </c>
      <c r="J285" s="10">
        <v>6278</v>
      </c>
      <c r="K285" s="7" t="s">
        <v>1808</v>
      </c>
      <c r="L285" s="11" t="s">
        <v>1809</v>
      </c>
      <c r="M285" s="11" t="s">
        <v>1809</v>
      </c>
      <c r="N285" s="11" t="s">
        <v>1810</v>
      </c>
      <c r="O285" s="7" t="s">
        <v>27</v>
      </c>
      <c r="P285" s="8"/>
    </row>
    <row r="286" spans="1:16">
      <c r="A286" s="7">
        <v>285</v>
      </c>
      <c r="B286" s="8" t="s">
        <v>1750</v>
      </c>
      <c r="C286" s="9" t="s">
        <v>1811</v>
      </c>
      <c r="D286" s="8" t="s">
        <v>1812</v>
      </c>
      <c r="E286" s="8" t="s">
        <v>1813</v>
      </c>
      <c r="F286" s="7" t="s">
        <v>20</v>
      </c>
      <c r="G286" s="7" t="s">
        <v>21</v>
      </c>
      <c r="H286" s="8" t="s">
        <v>22</v>
      </c>
      <c r="I286" s="8" t="s">
        <v>102</v>
      </c>
      <c r="J286" s="10">
        <v>6452</v>
      </c>
      <c r="K286" s="7" t="s">
        <v>1814</v>
      </c>
      <c r="L286" s="11" t="s">
        <v>1815</v>
      </c>
      <c r="M286" s="11" t="s">
        <v>1815</v>
      </c>
      <c r="N286" s="11" t="s">
        <v>1816</v>
      </c>
      <c r="O286" s="7" t="s">
        <v>27</v>
      </c>
      <c r="P286" s="8"/>
    </row>
    <row r="287" spans="1:16" ht="27">
      <c r="A287" s="7">
        <v>286</v>
      </c>
      <c r="B287" s="8" t="s">
        <v>1750</v>
      </c>
      <c r="C287" s="9" t="s">
        <v>1817</v>
      </c>
      <c r="D287" s="8" t="s">
        <v>1818</v>
      </c>
      <c r="E287" s="8" t="s">
        <v>1819</v>
      </c>
      <c r="F287" s="7" t="s">
        <v>20</v>
      </c>
      <c r="G287" s="7" t="s">
        <v>21</v>
      </c>
      <c r="H287" s="8" t="s">
        <v>233</v>
      </c>
      <c r="I287" s="8" t="s">
        <v>40</v>
      </c>
      <c r="J287" s="10">
        <v>10835</v>
      </c>
      <c r="K287" s="7" t="s">
        <v>1820</v>
      </c>
      <c r="L287" s="11" t="s">
        <v>1821</v>
      </c>
      <c r="M287" s="11" t="s">
        <v>1821</v>
      </c>
      <c r="N287" s="11" t="s">
        <v>1822</v>
      </c>
      <c r="O287" s="7" t="s">
        <v>27</v>
      </c>
      <c r="P287" s="8"/>
    </row>
    <row r="288" spans="1:16" ht="27">
      <c r="A288" s="7">
        <v>287</v>
      </c>
      <c r="B288" s="8" t="s">
        <v>1750</v>
      </c>
      <c r="C288" s="9" t="s">
        <v>1823</v>
      </c>
      <c r="D288" s="8" t="s">
        <v>1824</v>
      </c>
      <c r="E288" s="8" t="s">
        <v>1825</v>
      </c>
      <c r="F288" s="7" t="s">
        <v>20</v>
      </c>
      <c r="G288" s="7" t="s">
        <v>21</v>
      </c>
      <c r="H288" s="8" t="s">
        <v>55</v>
      </c>
      <c r="I288" s="8" t="s">
        <v>40</v>
      </c>
      <c r="J288" s="10">
        <v>24797</v>
      </c>
      <c r="K288" s="7" t="s">
        <v>48</v>
      </c>
      <c r="L288" s="11" t="s">
        <v>1826</v>
      </c>
      <c r="M288" s="11" t="s">
        <v>1827</v>
      </c>
      <c r="N288" s="11" t="s">
        <v>1828</v>
      </c>
      <c r="O288" s="7" t="s">
        <v>27</v>
      </c>
      <c r="P288" s="8"/>
    </row>
    <row r="289" spans="1:16" ht="27">
      <c r="A289" s="7">
        <v>288</v>
      </c>
      <c r="B289" s="8" t="s">
        <v>1750</v>
      </c>
      <c r="C289" s="9" t="s">
        <v>1829</v>
      </c>
      <c r="D289" s="8" t="s">
        <v>1830</v>
      </c>
      <c r="E289" s="8" t="s">
        <v>1831</v>
      </c>
      <c r="F289" s="7" t="s">
        <v>20</v>
      </c>
      <c r="G289" s="7" t="s">
        <v>21</v>
      </c>
      <c r="H289" s="8" t="s">
        <v>1832</v>
      </c>
      <c r="I289" s="8" t="s">
        <v>40</v>
      </c>
      <c r="J289" s="10">
        <v>6346</v>
      </c>
      <c r="K289" s="7" t="s">
        <v>48</v>
      </c>
      <c r="L289" s="11" t="s">
        <v>1833</v>
      </c>
      <c r="M289" s="11" t="s">
        <v>1834</v>
      </c>
      <c r="N289" s="11" t="s">
        <v>1835</v>
      </c>
      <c r="O289" s="7" t="s">
        <v>27</v>
      </c>
      <c r="P289" s="8"/>
    </row>
    <row r="290" spans="1:16">
      <c r="A290" s="7">
        <v>289</v>
      </c>
      <c r="B290" s="8" t="s">
        <v>1750</v>
      </c>
      <c r="C290" s="9" t="s">
        <v>1836</v>
      </c>
      <c r="D290" s="8" t="s">
        <v>1837</v>
      </c>
      <c r="E290" s="8" t="s">
        <v>1838</v>
      </c>
      <c r="F290" s="7" t="s">
        <v>39</v>
      </c>
      <c r="G290" s="7" t="s">
        <v>110</v>
      </c>
      <c r="H290" s="8" t="s">
        <v>180</v>
      </c>
      <c r="I290" s="8" t="s">
        <v>40</v>
      </c>
      <c r="J290" s="10">
        <v>124909</v>
      </c>
      <c r="K290" s="7" t="s">
        <v>23</v>
      </c>
      <c r="L290" s="11" t="s">
        <v>1839</v>
      </c>
      <c r="M290" s="11" t="s">
        <v>1840</v>
      </c>
      <c r="N290" s="11" t="s">
        <v>1841</v>
      </c>
      <c r="O290" s="7" t="s">
        <v>27</v>
      </c>
      <c r="P290" s="8"/>
    </row>
    <row r="291" spans="1:16" ht="27">
      <c r="A291" s="7">
        <v>290</v>
      </c>
      <c r="B291" s="8" t="s">
        <v>1750</v>
      </c>
      <c r="C291" s="9" t="s">
        <v>1842</v>
      </c>
      <c r="D291" s="8" t="s">
        <v>1843</v>
      </c>
      <c r="E291" s="8" t="s">
        <v>1844</v>
      </c>
      <c r="F291" s="7" t="s">
        <v>39</v>
      </c>
      <c r="G291" s="7" t="s">
        <v>110</v>
      </c>
      <c r="H291" s="8" t="s">
        <v>180</v>
      </c>
      <c r="I291" s="8" t="s">
        <v>1845</v>
      </c>
      <c r="J291" s="10"/>
      <c r="K291" s="7"/>
      <c r="L291" s="11" t="s">
        <v>1846</v>
      </c>
      <c r="M291" s="11" t="s">
        <v>1847</v>
      </c>
      <c r="N291" s="8"/>
      <c r="O291" s="7" t="s">
        <v>27</v>
      </c>
      <c r="P291" s="8"/>
    </row>
    <row r="292" spans="1:16" ht="27">
      <c r="A292" s="7">
        <v>291</v>
      </c>
      <c r="B292" s="8" t="s">
        <v>1750</v>
      </c>
      <c r="C292" s="9" t="s">
        <v>1848</v>
      </c>
      <c r="D292" s="8" t="s">
        <v>1849</v>
      </c>
      <c r="E292" s="8" t="s">
        <v>1850</v>
      </c>
      <c r="F292" s="7" t="s">
        <v>39</v>
      </c>
      <c r="G292" s="7" t="s">
        <v>110</v>
      </c>
      <c r="H292" s="8" t="s">
        <v>180</v>
      </c>
      <c r="I292" s="8" t="s">
        <v>40</v>
      </c>
      <c r="J292" s="10">
        <v>22432</v>
      </c>
      <c r="K292" s="7" t="s">
        <v>503</v>
      </c>
      <c r="L292" s="11" t="s">
        <v>1851</v>
      </c>
      <c r="M292" s="11" t="s">
        <v>1851</v>
      </c>
      <c r="N292" s="11" t="s">
        <v>1852</v>
      </c>
      <c r="O292" s="7" t="s">
        <v>27</v>
      </c>
      <c r="P292" s="8"/>
    </row>
    <row r="293" spans="1:16" ht="27">
      <c r="A293" s="7">
        <v>292</v>
      </c>
      <c r="B293" s="8" t="s">
        <v>1750</v>
      </c>
      <c r="C293" s="9" t="s">
        <v>1853</v>
      </c>
      <c r="D293" s="8" t="s">
        <v>1854</v>
      </c>
      <c r="E293" s="8" t="s">
        <v>1855</v>
      </c>
      <c r="F293" s="7" t="s">
        <v>39</v>
      </c>
      <c r="G293" s="7" t="s">
        <v>110</v>
      </c>
      <c r="H293" s="8" t="s">
        <v>180</v>
      </c>
      <c r="I293" s="8" t="s">
        <v>40</v>
      </c>
      <c r="J293" s="10">
        <v>48330</v>
      </c>
      <c r="K293" s="7" t="s">
        <v>23</v>
      </c>
      <c r="L293" s="11" t="s">
        <v>1856</v>
      </c>
      <c r="M293" s="11" t="s">
        <v>1856</v>
      </c>
      <c r="N293" s="11" t="s">
        <v>1857</v>
      </c>
      <c r="O293" s="7" t="s">
        <v>27</v>
      </c>
      <c r="P293" s="8"/>
    </row>
    <row r="294" spans="1:16" ht="27">
      <c r="A294" s="7">
        <v>293</v>
      </c>
      <c r="B294" s="8" t="s">
        <v>1750</v>
      </c>
      <c r="C294" s="9" t="s">
        <v>1858</v>
      </c>
      <c r="D294" s="8" t="s">
        <v>1859</v>
      </c>
      <c r="E294" s="8" t="s">
        <v>1860</v>
      </c>
      <c r="F294" s="7" t="s">
        <v>20</v>
      </c>
      <c r="G294" s="7" t="s">
        <v>21</v>
      </c>
      <c r="H294" s="8" t="s">
        <v>233</v>
      </c>
      <c r="I294" s="8" t="s">
        <v>40</v>
      </c>
      <c r="J294" s="10">
        <v>1352</v>
      </c>
      <c r="K294" s="7" t="s">
        <v>23</v>
      </c>
      <c r="L294" s="11" t="s">
        <v>1861</v>
      </c>
      <c r="M294" s="11" t="s">
        <v>1862</v>
      </c>
      <c r="N294" s="11" t="s">
        <v>1863</v>
      </c>
      <c r="O294" s="7" t="s">
        <v>27</v>
      </c>
      <c r="P294" s="8" t="s">
        <v>1864</v>
      </c>
    </row>
    <row r="295" spans="1:16">
      <c r="A295" s="7">
        <v>294</v>
      </c>
      <c r="B295" s="8" t="s">
        <v>1750</v>
      </c>
      <c r="C295" s="9" t="s">
        <v>1865</v>
      </c>
      <c r="D295" s="8" t="s">
        <v>1866</v>
      </c>
      <c r="E295" s="8" t="s">
        <v>1867</v>
      </c>
      <c r="F295" s="7" t="s">
        <v>20</v>
      </c>
      <c r="G295" s="7" t="s">
        <v>21</v>
      </c>
      <c r="H295" s="8" t="s">
        <v>407</v>
      </c>
      <c r="I295" s="8" t="s">
        <v>40</v>
      </c>
      <c r="J295" s="10">
        <v>42514</v>
      </c>
      <c r="K295" s="7" t="s">
        <v>23</v>
      </c>
      <c r="L295" s="11" t="s">
        <v>1868</v>
      </c>
      <c r="M295" s="11" t="s">
        <v>1869</v>
      </c>
      <c r="N295" s="11" t="s">
        <v>1870</v>
      </c>
      <c r="O295" s="7" t="s">
        <v>27</v>
      </c>
      <c r="P295" s="8"/>
    </row>
    <row r="296" spans="1:16" ht="27">
      <c r="A296" s="2">
        <v>295</v>
      </c>
      <c r="B296" s="3" t="s">
        <v>1871</v>
      </c>
      <c r="C296" s="4" t="s">
        <v>1872</v>
      </c>
      <c r="D296" s="3" t="s">
        <v>1873</v>
      </c>
      <c r="E296" s="3" t="s">
        <v>1874</v>
      </c>
      <c r="F296" s="2" t="s">
        <v>39</v>
      </c>
      <c r="G296" s="2" t="s">
        <v>21</v>
      </c>
      <c r="H296" s="3" t="s">
        <v>22</v>
      </c>
      <c r="I296" s="3" t="s">
        <v>40</v>
      </c>
      <c r="J296" s="5">
        <v>7816</v>
      </c>
      <c r="K296" s="2" t="s">
        <v>1875</v>
      </c>
      <c r="L296" s="6" t="s">
        <v>1876</v>
      </c>
      <c r="M296" s="6" t="s">
        <v>1877</v>
      </c>
      <c r="N296" s="6" t="s">
        <v>1878</v>
      </c>
      <c r="O296" s="2" t="s">
        <v>27</v>
      </c>
      <c r="P296" s="3" t="s">
        <v>1879</v>
      </c>
    </row>
    <row r="297" spans="1:16" ht="27">
      <c r="A297" s="2">
        <v>296</v>
      </c>
      <c r="B297" s="3" t="s">
        <v>1871</v>
      </c>
      <c r="C297" s="4" t="s">
        <v>1880</v>
      </c>
      <c r="D297" s="3" t="s">
        <v>1881</v>
      </c>
      <c r="E297" s="3" t="s">
        <v>1882</v>
      </c>
      <c r="F297" s="2" t="s">
        <v>39</v>
      </c>
      <c r="G297" s="2" t="s">
        <v>21</v>
      </c>
      <c r="H297" s="3" t="s">
        <v>22</v>
      </c>
      <c r="I297" s="3" t="s">
        <v>40</v>
      </c>
      <c r="J297" s="5">
        <v>46825</v>
      </c>
      <c r="K297" s="2" t="s">
        <v>48</v>
      </c>
      <c r="L297" s="6" t="s">
        <v>1883</v>
      </c>
      <c r="M297" s="6" t="s">
        <v>1884</v>
      </c>
      <c r="N297" s="6" t="s">
        <v>1885</v>
      </c>
      <c r="O297" s="2" t="s">
        <v>27</v>
      </c>
      <c r="P297" s="3"/>
    </row>
    <row r="298" spans="1:16" ht="27">
      <c r="A298" s="2">
        <v>297</v>
      </c>
      <c r="B298" s="3" t="s">
        <v>1871</v>
      </c>
      <c r="C298" s="4" t="s">
        <v>1886</v>
      </c>
      <c r="D298" s="3" t="s">
        <v>1887</v>
      </c>
      <c r="E298" s="3" t="s">
        <v>1888</v>
      </c>
      <c r="F298" s="2" t="s">
        <v>20</v>
      </c>
      <c r="G298" s="2" t="s">
        <v>21</v>
      </c>
      <c r="H298" s="3" t="s">
        <v>22</v>
      </c>
      <c r="I298" s="3" t="s">
        <v>804</v>
      </c>
      <c r="J298" s="5">
        <v>25002</v>
      </c>
      <c r="K298" s="2" t="s">
        <v>1889</v>
      </c>
      <c r="L298" s="6" t="s">
        <v>1890</v>
      </c>
      <c r="M298" s="6" t="s">
        <v>1891</v>
      </c>
      <c r="N298" s="6" t="s">
        <v>1892</v>
      </c>
      <c r="O298" s="2" t="s">
        <v>27</v>
      </c>
      <c r="P298" s="3"/>
    </row>
    <row r="299" spans="1:16">
      <c r="A299" s="2">
        <v>298</v>
      </c>
      <c r="B299" s="3" t="s">
        <v>1871</v>
      </c>
      <c r="C299" s="4" t="s">
        <v>1893</v>
      </c>
      <c r="D299" s="3" t="s">
        <v>1894</v>
      </c>
      <c r="E299" s="3" t="s">
        <v>1895</v>
      </c>
      <c r="F299" s="2" t="s">
        <v>20</v>
      </c>
      <c r="G299" s="2" t="s">
        <v>21</v>
      </c>
      <c r="H299" s="3" t="s">
        <v>22</v>
      </c>
      <c r="I299" s="3" t="s">
        <v>40</v>
      </c>
      <c r="J299" s="5">
        <v>13045</v>
      </c>
      <c r="K299" s="2" t="s">
        <v>1174</v>
      </c>
      <c r="L299" s="6" t="s">
        <v>1896</v>
      </c>
      <c r="M299" s="6" t="s">
        <v>1897</v>
      </c>
      <c r="N299" s="6" t="s">
        <v>1898</v>
      </c>
      <c r="O299" s="2" t="s">
        <v>27</v>
      </c>
      <c r="P299" s="3"/>
    </row>
    <row r="300" spans="1:16">
      <c r="A300" s="2">
        <v>299</v>
      </c>
      <c r="B300" s="3" t="s">
        <v>1871</v>
      </c>
      <c r="C300" s="4" t="s">
        <v>1899</v>
      </c>
      <c r="D300" s="3" t="s">
        <v>1900</v>
      </c>
      <c r="E300" s="3" t="s">
        <v>1901</v>
      </c>
      <c r="F300" s="2" t="s">
        <v>20</v>
      </c>
      <c r="G300" s="2" t="s">
        <v>21</v>
      </c>
      <c r="H300" s="3" t="s">
        <v>22</v>
      </c>
      <c r="I300" s="3" t="s">
        <v>40</v>
      </c>
      <c r="J300" s="5">
        <v>13836</v>
      </c>
      <c r="K300" s="2" t="s">
        <v>1902</v>
      </c>
      <c r="L300" s="6" t="s">
        <v>1903</v>
      </c>
      <c r="M300" s="6" t="s">
        <v>1903</v>
      </c>
      <c r="N300" s="6" t="s">
        <v>1904</v>
      </c>
      <c r="O300" s="2" t="s">
        <v>27</v>
      </c>
      <c r="P300" s="3"/>
    </row>
    <row r="301" spans="1:16">
      <c r="A301" s="2">
        <v>300</v>
      </c>
      <c r="B301" s="3" t="s">
        <v>1871</v>
      </c>
      <c r="C301" s="4" t="s">
        <v>1905</v>
      </c>
      <c r="D301" s="3" t="s">
        <v>1906</v>
      </c>
      <c r="E301" s="3" t="s">
        <v>1907</v>
      </c>
      <c r="F301" s="2" t="s">
        <v>39</v>
      </c>
      <c r="G301" s="2" t="s">
        <v>21</v>
      </c>
      <c r="H301" s="3" t="s">
        <v>22</v>
      </c>
      <c r="I301" s="3" t="s">
        <v>40</v>
      </c>
      <c r="J301" s="5">
        <v>21235</v>
      </c>
      <c r="K301" s="2" t="s">
        <v>1505</v>
      </c>
      <c r="L301" s="6" t="s">
        <v>1908</v>
      </c>
      <c r="M301" s="6" t="s">
        <v>1908</v>
      </c>
      <c r="N301" s="6" t="s">
        <v>1909</v>
      </c>
      <c r="O301" s="2" t="s">
        <v>27</v>
      </c>
      <c r="P301" s="3"/>
    </row>
    <row r="302" spans="1:16">
      <c r="A302" s="2">
        <v>301</v>
      </c>
      <c r="B302" s="3" t="s">
        <v>1871</v>
      </c>
      <c r="C302" s="4" t="s">
        <v>1910</v>
      </c>
      <c r="D302" s="3" t="s">
        <v>1911</v>
      </c>
      <c r="E302" s="3" t="s">
        <v>1912</v>
      </c>
      <c r="F302" s="2" t="s">
        <v>20</v>
      </c>
      <c r="G302" s="2" t="s">
        <v>21</v>
      </c>
      <c r="H302" s="3" t="s">
        <v>22</v>
      </c>
      <c r="I302" s="3" t="s">
        <v>804</v>
      </c>
      <c r="J302" s="5">
        <v>47367</v>
      </c>
      <c r="K302" s="2" t="s">
        <v>1913</v>
      </c>
      <c r="L302" s="6" t="s">
        <v>1914</v>
      </c>
      <c r="M302" s="6" t="s">
        <v>1915</v>
      </c>
      <c r="N302" s="6" t="s">
        <v>1916</v>
      </c>
      <c r="O302" s="2" t="s">
        <v>27</v>
      </c>
      <c r="P302" s="3"/>
    </row>
    <row r="303" spans="1:16" ht="27">
      <c r="A303" s="2">
        <v>302</v>
      </c>
      <c r="B303" s="3" t="s">
        <v>1871</v>
      </c>
      <c r="C303" s="4" t="s">
        <v>1917</v>
      </c>
      <c r="D303" s="3" t="s">
        <v>1918</v>
      </c>
      <c r="E303" s="3" t="s">
        <v>1919</v>
      </c>
      <c r="F303" s="2" t="s">
        <v>39</v>
      </c>
      <c r="G303" s="2" t="s">
        <v>110</v>
      </c>
      <c r="H303" s="3" t="s">
        <v>55</v>
      </c>
      <c r="I303" s="3" t="s">
        <v>40</v>
      </c>
      <c r="J303" s="5">
        <v>38598</v>
      </c>
      <c r="K303" s="2" t="s">
        <v>23</v>
      </c>
      <c r="L303" s="6" t="s">
        <v>1920</v>
      </c>
      <c r="M303" s="6" t="s">
        <v>1920</v>
      </c>
      <c r="N303" s="6" t="s">
        <v>1921</v>
      </c>
      <c r="O303" s="2" t="s">
        <v>27</v>
      </c>
      <c r="P303" s="3"/>
    </row>
    <row r="304" spans="1:16">
      <c r="A304" s="2">
        <v>303</v>
      </c>
      <c r="B304" s="3" t="s">
        <v>1871</v>
      </c>
      <c r="C304" s="4" t="s">
        <v>1922</v>
      </c>
      <c r="D304" s="3" t="s">
        <v>1923</v>
      </c>
      <c r="E304" s="3" t="s">
        <v>1924</v>
      </c>
      <c r="F304" s="2" t="s">
        <v>20</v>
      </c>
      <c r="G304" s="2" t="s">
        <v>21</v>
      </c>
      <c r="H304" s="3" t="s">
        <v>22</v>
      </c>
      <c r="I304" s="3" t="s">
        <v>102</v>
      </c>
      <c r="J304" s="5">
        <v>31968</v>
      </c>
      <c r="K304" s="2" t="s">
        <v>1524</v>
      </c>
      <c r="L304" s="6" t="s">
        <v>1925</v>
      </c>
      <c r="M304" s="6" t="s">
        <v>1925</v>
      </c>
      <c r="N304" s="6" t="s">
        <v>1926</v>
      </c>
      <c r="O304" s="2" t="s">
        <v>27</v>
      </c>
      <c r="P304" s="3"/>
    </row>
    <row r="305" spans="1:16">
      <c r="A305" s="7">
        <v>304</v>
      </c>
      <c r="B305" s="8" t="s">
        <v>1927</v>
      </c>
      <c r="C305" s="9" t="s">
        <v>1928</v>
      </c>
      <c r="D305" s="8" t="s">
        <v>1929</v>
      </c>
      <c r="E305" s="8" t="s">
        <v>1930</v>
      </c>
      <c r="F305" s="7" t="s">
        <v>39</v>
      </c>
      <c r="G305" s="7" t="s">
        <v>248</v>
      </c>
      <c r="H305" s="8" t="s">
        <v>825</v>
      </c>
      <c r="I305" s="8" t="s">
        <v>40</v>
      </c>
      <c r="J305" s="10">
        <v>63213</v>
      </c>
      <c r="K305" s="7" t="s">
        <v>48</v>
      </c>
      <c r="L305" s="11" t="s">
        <v>1931</v>
      </c>
      <c r="M305" s="11" t="s">
        <v>1932</v>
      </c>
      <c r="N305" s="11" t="s">
        <v>1933</v>
      </c>
      <c r="O305" s="7" t="s">
        <v>27</v>
      </c>
      <c r="P305" s="8"/>
    </row>
    <row r="306" spans="1:16">
      <c r="A306" s="7">
        <v>305</v>
      </c>
      <c r="B306" s="8" t="s">
        <v>1927</v>
      </c>
      <c r="C306" s="9" t="s">
        <v>1934</v>
      </c>
      <c r="D306" s="8" t="s">
        <v>1935</v>
      </c>
      <c r="E306" s="8" t="s">
        <v>1936</v>
      </c>
      <c r="F306" s="7" t="s">
        <v>39</v>
      </c>
      <c r="G306" s="7" t="s">
        <v>110</v>
      </c>
      <c r="H306" s="8" t="s">
        <v>22</v>
      </c>
      <c r="I306" s="8" t="s">
        <v>40</v>
      </c>
      <c r="J306" s="10">
        <v>13458</v>
      </c>
      <c r="K306" s="7" t="s">
        <v>1937</v>
      </c>
      <c r="L306" s="11" t="s">
        <v>1938</v>
      </c>
      <c r="M306" s="11" t="s">
        <v>1938</v>
      </c>
      <c r="N306" s="11" t="s">
        <v>1939</v>
      </c>
      <c r="O306" s="7" t="s">
        <v>27</v>
      </c>
      <c r="P306" s="8"/>
    </row>
    <row r="307" spans="1:16">
      <c r="A307" s="7">
        <v>306</v>
      </c>
      <c r="B307" s="8" t="s">
        <v>1927</v>
      </c>
      <c r="C307" s="9" t="s">
        <v>1940</v>
      </c>
      <c r="D307" s="8" t="s">
        <v>1941</v>
      </c>
      <c r="E307" s="8" t="s">
        <v>1942</v>
      </c>
      <c r="F307" s="7" t="s">
        <v>206</v>
      </c>
      <c r="G307" s="7" t="s">
        <v>110</v>
      </c>
      <c r="H307" s="8" t="s">
        <v>22</v>
      </c>
      <c r="I307" s="8" t="s">
        <v>40</v>
      </c>
      <c r="J307" s="10">
        <v>22866</v>
      </c>
      <c r="K307" s="7" t="s">
        <v>48</v>
      </c>
      <c r="L307" s="11" t="s">
        <v>1943</v>
      </c>
      <c r="M307" s="11" t="s">
        <v>1943</v>
      </c>
      <c r="N307" s="11" t="s">
        <v>1944</v>
      </c>
      <c r="O307" s="7" t="s">
        <v>27</v>
      </c>
      <c r="P307" s="8"/>
    </row>
    <row r="308" spans="1:16" ht="27">
      <c r="A308" s="7">
        <v>307</v>
      </c>
      <c r="B308" s="8" t="s">
        <v>1927</v>
      </c>
      <c r="C308" s="9" t="s">
        <v>1945</v>
      </c>
      <c r="D308" s="8" t="s">
        <v>1946</v>
      </c>
      <c r="E308" s="8" t="s">
        <v>1947</v>
      </c>
      <c r="F308" s="7" t="s">
        <v>39</v>
      </c>
      <c r="G308" s="7" t="s">
        <v>248</v>
      </c>
      <c r="H308" s="8" t="s">
        <v>22</v>
      </c>
      <c r="I308" s="8" t="s">
        <v>102</v>
      </c>
      <c r="J308" s="10">
        <v>5147</v>
      </c>
      <c r="K308" s="7" t="s">
        <v>23</v>
      </c>
      <c r="L308" s="11" t="s">
        <v>1948</v>
      </c>
      <c r="M308" s="11" t="s">
        <v>1948</v>
      </c>
      <c r="N308" s="11" t="s">
        <v>1949</v>
      </c>
      <c r="O308" s="7" t="s">
        <v>27</v>
      </c>
      <c r="P308" s="8"/>
    </row>
    <row r="309" spans="1:16" ht="27">
      <c r="A309" s="7">
        <v>308</v>
      </c>
      <c r="B309" s="8" t="s">
        <v>1927</v>
      </c>
      <c r="C309" s="9" t="s">
        <v>1950</v>
      </c>
      <c r="D309" s="8" t="s">
        <v>1951</v>
      </c>
      <c r="E309" s="8" t="s">
        <v>1952</v>
      </c>
      <c r="F309" s="7" t="s">
        <v>39</v>
      </c>
      <c r="G309" s="7" t="s">
        <v>248</v>
      </c>
      <c r="H309" s="8" t="s">
        <v>22</v>
      </c>
      <c r="I309" s="8" t="s">
        <v>40</v>
      </c>
      <c r="J309" s="10">
        <v>4573</v>
      </c>
      <c r="K309" s="7" t="s">
        <v>23</v>
      </c>
      <c r="L309" s="11" t="s">
        <v>1953</v>
      </c>
      <c r="M309" s="11" t="s">
        <v>1954</v>
      </c>
      <c r="N309" s="11" t="s">
        <v>1955</v>
      </c>
      <c r="O309" s="7" t="s">
        <v>27</v>
      </c>
      <c r="P309" s="8"/>
    </row>
    <row r="310" spans="1:16">
      <c r="A310" s="2">
        <v>309</v>
      </c>
      <c r="B310" s="3" t="s">
        <v>1956</v>
      </c>
      <c r="C310" s="4" t="s">
        <v>1957</v>
      </c>
      <c r="D310" s="3" t="s">
        <v>1958</v>
      </c>
      <c r="E310" s="3" t="s">
        <v>1959</v>
      </c>
      <c r="F310" s="2" t="s">
        <v>20</v>
      </c>
      <c r="G310" s="2" t="s">
        <v>21</v>
      </c>
      <c r="H310" s="3" t="s">
        <v>22</v>
      </c>
      <c r="I310" s="3" t="s">
        <v>102</v>
      </c>
      <c r="J310" s="5">
        <v>14616</v>
      </c>
      <c r="K310" s="2" t="s">
        <v>522</v>
      </c>
      <c r="L310" s="6" t="s">
        <v>1960</v>
      </c>
      <c r="M310" s="6" t="s">
        <v>1960</v>
      </c>
      <c r="N310" s="6" t="s">
        <v>1961</v>
      </c>
      <c r="O310" s="2" t="s">
        <v>27</v>
      </c>
      <c r="P310" s="3"/>
    </row>
    <row r="311" spans="1:16" ht="27">
      <c r="A311" s="2">
        <v>310</v>
      </c>
      <c r="B311" s="3" t="s">
        <v>1956</v>
      </c>
      <c r="C311" s="4" t="s">
        <v>1962</v>
      </c>
      <c r="D311" s="3" t="s">
        <v>1963</v>
      </c>
      <c r="E311" s="3" t="s">
        <v>1964</v>
      </c>
      <c r="F311" s="2" t="s">
        <v>20</v>
      </c>
      <c r="G311" s="2" t="s">
        <v>21</v>
      </c>
      <c r="H311" s="3" t="s">
        <v>22</v>
      </c>
      <c r="I311" s="3" t="s">
        <v>102</v>
      </c>
      <c r="J311" s="5">
        <v>25810</v>
      </c>
      <c r="K311" s="2" t="s">
        <v>1965</v>
      </c>
      <c r="L311" s="6" t="s">
        <v>1966</v>
      </c>
      <c r="M311" s="6" t="s">
        <v>1966</v>
      </c>
      <c r="N311" s="6" t="s">
        <v>1967</v>
      </c>
      <c r="O311" s="2" t="s">
        <v>27</v>
      </c>
      <c r="P311" s="3"/>
    </row>
    <row r="312" spans="1:16">
      <c r="A312" s="2">
        <v>311</v>
      </c>
      <c r="B312" s="3" t="s">
        <v>1956</v>
      </c>
      <c r="C312" s="4" t="s">
        <v>1968</v>
      </c>
      <c r="D312" s="3" t="s">
        <v>1969</v>
      </c>
      <c r="E312" s="3" t="s">
        <v>1970</v>
      </c>
      <c r="F312" s="2" t="s">
        <v>39</v>
      </c>
      <c r="G312" s="2" t="s">
        <v>21</v>
      </c>
      <c r="H312" s="3" t="s">
        <v>22</v>
      </c>
      <c r="I312" s="3" t="s">
        <v>40</v>
      </c>
      <c r="J312" s="5">
        <v>13667</v>
      </c>
      <c r="K312" s="2" t="s">
        <v>1971</v>
      </c>
      <c r="L312" s="6" t="s">
        <v>1972</v>
      </c>
      <c r="M312" s="6" t="s">
        <v>1973</v>
      </c>
      <c r="N312" s="6" t="s">
        <v>1974</v>
      </c>
      <c r="O312" s="2" t="s">
        <v>27</v>
      </c>
      <c r="P312" s="3"/>
    </row>
    <row r="313" spans="1:16" ht="27">
      <c r="A313" s="2">
        <v>312</v>
      </c>
      <c r="B313" s="3" t="s">
        <v>1956</v>
      </c>
      <c r="C313" s="4" t="s">
        <v>1975</v>
      </c>
      <c r="D313" s="3" t="s">
        <v>1976</v>
      </c>
      <c r="E313" s="3" t="s">
        <v>1977</v>
      </c>
      <c r="F313" s="2" t="s">
        <v>39</v>
      </c>
      <c r="G313" s="2" t="s">
        <v>21</v>
      </c>
      <c r="H313" s="3" t="s">
        <v>22</v>
      </c>
      <c r="I313" s="3" t="s">
        <v>40</v>
      </c>
      <c r="J313" s="5">
        <v>2131</v>
      </c>
      <c r="K313" s="2" t="s">
        <v>48</v>
      </c>
      <c r="L313" s="6" t="s">
        <v>1978</v>
      </c>
      <c r="M313" s="6" t="s">
        <v>1979</v>
      </c>
      <c r="N313" s="6" t="s">
        <v>1980</v>
      </c>
      <c r="O313" s="2" t="s">
        <v>27</v>
      </c>
      <c r="P313" s="3"/>
    </row>
    <row r="314" spans="1:16">
      <c r="A314" s="2">
        <v>313</v>
      </c>
      <c r="B314" s="3" t="s">
        <v>1956</v>
      </c>
      <c r="C314" s="4" t="s">
        <v>1981</v>
      </c>
      <c r="D314" s="3" t="s">
        <v>1982</v>
      </c>
      <c r="E314" s="3" t="s">
        <v>1983</v>
      </c>
      <c r="F314" s="2" t="s">
        <v>20</v>
      </c>
      <c r="G314" s="2" t="s">
        <v>21</v>
      </c>
      <c r="H314" s="3" t="s">
        <v>22</v>
      </c>
      <c r="I314" s="3" t="s">
        <v>102</v>
      </c>
      <c r="J314" s="5">
        <v>20496</v>
      </c>
      <c r="K314" s="2" t="s">
        <v>1984</v>
      </c>
      <c r="L314" s="6" t="s">
        <v>1985</v>
      </c>
      <c r="M314" s="6" t="s">
        <v>1986</v>
      </c>
      <c r="N314" s="6" t="s">
        <v>1987</v>
      </c>
      <c r="O314" s="2" t="s">
        <v>27</v>
      </c>
      <c r="P314" s="3"/>
    </row>
    <row r="315" spans="1:16">
      <c r="A315" s="2">
        <v>314</v>
      </c>
      <c r="B315" s="3" t="s">
        <v>1956</v>
      </c>
      <c r="C315" s="4" t="s">
        <v>1988</v>
      </c>
      <c r="D315" s="3" t="s">
        <v>1989</v>
      </c>
      <c r="E315" s="3" t="s">
        <v>1990</v>
      </c>
      <c r="F315" s="2" t="s">
        <v>20</v>
      </c>
      <c r="G315" s="2" t="s">
        <v>21</v>
      </c>
      <c r="H315" s="3" t="s">
        <v>22</v>
      </c>
      <c r="I315" s="3" t="s">
        <v>40</v>
      </c>
      <c r="J315" s="5">
        <v>48667</v>
      </c>
      <c r="K315" s="2" t="s">
        <v>1622</v>
      </c>
      <c r="L315" s="6" t="s">
        <v>1991</v>
      </c>
      <c r="M315" s="6" t="s">
        <v>1991</v>
      </c>
      <c r="N315" s="6" t="s">
        <v>1992</v>
      </c>
      <c r="O315" s="2" t="s">
        <v>27</v>
      </c>
      <c r="P315" s="3"/>
    </row>
    <row r="316" spans="1:16">
      <c r="A316" s="2">
        <v>315</v>
      </c>
      <c r="B316" s="3" t="s">
        <v>1956</v>
      </c>
      <c r="C316" s="4" t="s">
        <v>1993</v>
      </c>
      <c r="D316" s="3" t="s">
        <v>1994</v>
      </c>
      <c r="E316" s="3" t="s">
        <v>1995</v>
      </c>
      <c r="F316" s="2" t="s">
        <v>20</v>
      </c>
      <c r="G316" s="2" t="s">
        <v>21</v>
      </c>
      <c r="H316" s="3" t="s">
        <v>22</v>
      </c>
      <c r="I316" s="3" t="s">
        <v>40</v>
      </c>
      <c r="J316" s="5">
        <v>61276</v>
      </c>
      <c r="K316" s="2" t="s">
        <v>1902</v>
      </c>
      <c r="L316" s="6" t="s">
        <v>1996</v>
      </c>
      <c r="M316" s="6" t="s">
        <v>1997</v>
      </c>
      <c r="N316" s="6" t="s">
        <v>1998</v>
      </c>
      <c r="O316" s="2" t="s">
        <v>27</v>
      </c>
      <c r="P316" s="3"/>
    </row>
    <row r="317" spans="1:16">
      <c r="A317" s="2">
        <v>316</v>
      </c>
      <c r="B317" s="3" t="s">
        <v>1956</v>
      </c>
      <c r="C317" s="4" t="s">
        <v>1999</v>
      </c>
      <c r="D317" s="3" t="s">
        <v>2000</v>
      </c>
      <c r="E317" s="3" t="s">
        <v>2001</v>
      </c>
      <c r="F317" s="2" t="s">
        <v>39</v>
      </c>
      <c r="G317" s="2" t="s">
        <v>110</v>
      </c>
      <c r="H317" s="3" t="s">
        <v>1445</v>
      </c>
      <c r="I317" s="3" t="s">
        <v>40</v>
      </c>
      <c r="J317" s="5">
        <v>44046</v>
      </c>
      <c r="K317" s="2" t="s">
        <v>23</v>
      </c>
      <c r="L317" s="6" t="s">
        <v>2002</v>
      </c>
      <c r="M317" s="6" t="s">
        <v>2002</v>
      </c>
      <c r="N317" s="6" t="s">
        <v>2003</v>
      </c>
      <c r="O317" s="2" t="s">
        <v>27</v>
      </c>
      <c r="P317" s="3"/>
    </row>
    <row r="318" spans="1:16" ht="27">
      <c r="A318" s="2">
        <v>317</v>
      </c>
      <c r="B318" s="3" t="s">
        <v>1956</v>
      </c>
      <c r="C318" s="4" t="s">
        <v>2004</v>
      </c>
      <c r="D318" s="3" t="s">
        <v>2005</v>
      </c>
      <c r="E318" s="3" t="s">
        <v>2006</v>
      </c>
      <c r="F318" s="2" t="s">
        <v>20</v>
      </c>
      <c r="G318" s="2" t="s">
        <v>21</v>
      </c>
      <c r="H318" s="3" t="s">
        <v>55</v>
      </c>
      <c r="I318" s="3" t="s">
        <v>40</v>
      </c>
      <c r="J318" s="5">
        <v>8639</v>
      </c>
      <c r="K318" s="2" t="s">
        <v>1574</v>
      </c>
      <c r="L318" s="6" t="s">
        <v>2007</v>
      </c>
      <c r="M318" s="6" t="s">
        <v>2007</v>
      </c>
      <c r="N318" s="6" t="s">
        <v>2008</v>
      </c>
      <c r="O318" s="2" t="s">
        <v>27</v>
      </c>
      <c r="P318" s="3"/>
    </row>
    <row r="319" spans="1:16">
      <c r="A319" s="7">
        <v>318</v>
      </c>
      <c r="B319" s="8" t="s">
        <v>2009</v>
      </c>
      <c r="C319" s="9" t="s">
        <v>180</v>
      </c>
      <c r="D319" s="8" t="s">
        <v>2010</v>
      </c>
      <c r="E319" s="8" t="s">
        <v>2011</v>
      </c>
      <c r="F319" s="7" t="s">
        <v>39</v>
      </c>
      <c r="G319" s="7" t="s">
        <v>110</v>
      </c>
      <c r="H319" s="8" t="s">
        <v>180</v>
      </c>
      <c r="I319" s="8" t="s">
        <v>40</v>
      </c>
      <c r="J319" s="10">
        <v>250842</v>
      </c>
      <c r="K319" s="7" t="s">
        <v>48</v>
      </c>
      <c r="L319" s="11" t="s">
        <v>2012</v>
      </c>
      <c r="M319" s="11" t="s">
        <v>2013</v>
      </c>
      <c r="N319" s="11" t="s">
        <v>2014</v>
      </c>
      <c r="O319" s="7" t="s">
        <v>27</v>
      </c>
      <c r="P319" s="8"/>
    </row>
    <row r="320" spans="1:16">
      <c r="A320" s="7">
        <v>319</v>
      </c>
      <c r="B320" s="8" t="s">
        <v>2009</v>
      </c>
      <c r="C320" s="9" t="s">
        <v>199</v>
      </c>
      <c r="D320" s="8" t="s">
        <v>2015</v>
      </c>
      <c r="E320" s="8" t="s">
        <v>2016</v>
      </c>
      <c r="F320" s="7" t="s">
        <v>20</v>
      </c>
      <c r="G320" s="7" t="s">
        <v>21</v>
      </c>
      <c r="H320" s="8" t="s">
        <v>199</v>
      </c>
      <c r="I320" s="8" t="s">
        <v>40</v>
      </c>
      <c r="J320" s="10">
        <v>54465</v>
      </c>
      <c r="K320" s="7" t="s">
        <v>23</v>
      </c>
      <c r="L320" s="11" t="s">
        <v>2017</v>
      </c>
      <c r="M320" s="11" t="s">
        <v>2018</v>
      </c>
      <c r="N320" s="11" t="s">
        <v>2019</v>
      </c>
      <c r="O320" s="7" t="s">
        <v>27</v>
      </c>
      <c r="P320" s="8"/>
    </row>
    <row r="321" spans="1:16">
      <c r="A321" s="7">
        <v>320</v>
      </c>
      <c r="B321" s="8" t="s">
        <v>2009</v>
      </c>
      <c r="C321" s="9" t="s">
        <v>192</v>
      </c>
      <c r="D321" s="8" t="s">
        <v>2020</v>
      </c>
      <c r="E321" s="8" t="s">
        <v>2021</v>
      </c>
      <c r="F321" s="7" t="s">
        <v>39</v>
      </c>
      <c r="G321" s="7" t="s">
        <v>110</v>
      </c>
      <c r="H321" s="8" t="s">
        <v>192</v>
      </c>
      <c r="I321" s="8" t="s">
        <v>40</v>
      </c>
      <c r="J321" s="10">
        <v>88235</v>
      </c>
      <c r="K321" s="7" t="s">
        <v>23</v>
      </c>
      <c r="L321" s="11" t="s">
        <v>2022</v>
      </c>
      <c r="M321" s="11" t="s">
        <v>2023</v>
      </c>
      <c r="N321" s="11" t="s">
        <v>2024</v>
      </c>
      <c r="O321" s="7" t="s">
        <v>27</v>
      </c>
      <c r="P321" s="8"/>
    </row>
    <row r="322" spans="1:16">
      <c r="A322" s="7">
        <v>321</v>
      </c>
      <c r="B322" s="8" t="s">
        <v>2009</v>
      </c>
      <c r="C322" s="9" t="s">
        <v>2025</v>
      </c>
      <c r="D322" s="8" t="s">
        <v>2026</v>
      </c>
      <c r="E322" s="8" t="s">
        <v>2027</v>
      </c>
      <c r="F322" s="7" t="s">
        <v>20</v>
      </c>
      <c r="G322" s="7" t="s">
        <v>21</v>
      </c>
      <c r="H322" s="8" t="s">
        <v>22</v>
      </c>
      <c r="I322" s="8" t="s">
        <v>40</v>
      </c>
      <c r="J322" s="10">
        <v>31951</v>
      </c>
      <c r="K322" s="7" t="s">
        <v>48</v>
      </c>
      <c r="L322" s="11" t="s">
        <v>2028</v>
      </c>
      <c r="M322" s="11" t="s">
        <v>2028</v>
      </c>
      <c r="N322" s="11" t="s">
        <v>2029</v>
      </c>
      <c r="O322" s="7" t="s">
        <v>27</v>
      </c>
      <c r="P322" s="8"/>
    </row>
    <row r="323" spans="1:16">
      <c r="A323" s="7">
        <v>322</v>
      </c>
      <c r="B323" s="8" t="s">
        <v>2009</v>
      </c>
      <c r="C323" s="9" t="s">
        <v>2030</v>
      </c>
      <c r="D323" s="8" t="s">
        <v>2031</v>
      </c>
      <c r="E323" s="8" t="s">
        <v>2032</v>
      </c>
      <c r="F323" s="7" t="s">
        <v>20</v>
      </c>
      <c r="G323" s="7" t="s">
        <v>21</v>
      </c>
      <c r="H323" s="8" t="s">
        <v>22</v>
      </c>
      <c r="I323" s="8" t="s">
        <v>2033</v>
      </c>
      <c r="J323" s="10">
        <v>49534</v>
      </c>
      <c r="K323" s="7" t="s">
        <v>395</v>
      </c>
      <c r="L323" s="11" t="s">
        <v>2034</v>
      </c>
      <c r="M323" s="11" t="s">
        <v>2035</v>
      </c>
      <c r="N323" s="11" t="s">
        <v>2036</v>
      </c>
      <c r="O323" s="7" t="s">
        <v>27</v>
      </c>
      <c r="P323" s="8"/>
    </row>
    <row r="324" spans="1:16">
      <c r="A324" s="7">
        <v>323</v>
      </c>
      <c r="B324" s="8" t="s">
        <v>2009</v>
      </c>
      <c r="C324" s="9" t="s">
        <v>2037</v>
      </c>
      <c r="D324" s="8" t="s">
        <v>2038</v>
      </c>
      <c r="E324" s="8" t="s">
        <v>2039</v>
      </c>
      <c r="F324" s="7" t="s">
        <v>39</v>
      </c>
      <c r="G324" s="7" t="s">
        <v>21</v>
      </c>
      <c r="H324" s="8" t="s">
        <v>233</v>
      </c>
      <c r="I324" s="8" t="s">
        <v>804</v>
      </c>
      <c r="J324" s="10">
        <v>21843</v>
      </c>
      <c r="K324" s="7" t="s">
        <v>193</v>
      </c>
      <c r="L324" s="11" t="s">
        <v>2040</v>
      </c>
      <c r="M324" s="11" t="s">
        <v>2041</v>
      </c>
      <c r="N324" s="11" t="s">
        <v>2042</v>
      </c>
      <c r="O324" s="7" t="s">
        <v>27</v>
      </c>
      <c r="P324" s="8"/>
    </row>
    <row r="325" spans="1:16">
      <c r="A325" s="7">
        <v>324</v>
      </c>
      <c r="B325" s="8" t="s">
        <v>2009</v>
      </c>
      <c r="C325" s="9" t="s">
        <v>2043</v>
      </c>
      <c r="D325" s="8" t="s">
        <v>2044</v>
      </c>
      <c r="E325" s="8" t="s">
        <v>2045</v>
      </c>
      <c r="F325" s="7" t="s">
        <v>39</v>
      </c>
      <c r="G325" s="7" t="s">
        <v>21</v>
      </c>
      <c r="H325" s="8" t="s">
        <v>2046</v>
      </c>
      <c r="I325" s="8" t="s">
        <v>40</v>
      </c>
      <c r="J325" s="10">
        <v>38897</v>
      </c>
      <c r="K325" s="7" t="s">
        <v>23</v>
      </c>
      <c r="L325" s="11" t="s">
        <v>2047</v>
      </c>
      <c r="M325" s="11" t="s">
        <v>2048</v>
      </c>
      <c r="N325" s="11" t="s">
        <v>2049</v>
      </c>
      <c r="O325" s="7" t="s">
        <v>27</v>
      </c>
      <c r="P325" s="8"/>
    </row>
    <row r="326" spans="1:16">
      <c r="A326" s="7">
        <v>325</v>
      </c>
      <c r="B326" s="8" t="s">
        <v>2009</v>
      </c>
      <c r="C326" s="9" t="s">
        <v>2050</v>
      </c>
      <c r="D326" s="8" t="s">
        <v>2051</v>
      </c>
      <c r="E326" s="8" t="s">
        <v>2052</v>
      </c>
      <c r="F326" s="7" t="s">
        <v>39</v>
      </c>
      <c r="G326" s="7" t="s">
        <v>110</v>
      </c>
      <c r="H326" s="8" t="s">
        <v>2050</v>
      </c>
      <c r="I326" s="8" t="s">
        <v>40</v>
      </c>
      <c r="J326" s="10">
        <v>36086</v>
      </c>
      <c r="K326" s="7" t="s">
        <v>23</v>
      </c>
      <c r="L326" s="11" t="s">
        <v>2053</v>
      </c>
      <c r="M326" s="11" t="s">
        <v>2054</v>
      </c>
      <c r="N326" s="11" t="s">
        <v>2055</v>
      </c>
      <c r="O326" s="7" t="s">
        <v>27</v>
      </c>
      <c r="P326" s="8"/>
    </row>
    <row r="327" spans="1:16" ht="27">
      <c r="A327" s="7">
        <v>326</v>
      </c>
      <c r="B327" s="8" t="s">
        <v>2009</v>
      </c>
      <c r="C327" s="9" t="s">
        <v>2056</v>
      </c>
      <c r="D327" s="8" t="s">
        <v>2057</v>
      </c>
      <c r="E327" s="8" t="s">
        <v>2058</v>
      </c>
      <c r="F327" s="7" t="s">
        <v>20</v>
      </c>
      <c r="G327" s="7" t="s">
        <v>21</v>
      </c>
      <c r="H327" s="8" t="s">
        <v>407</v>
      </c>
      <c r="I327" s="8" t="s">
        <v>40</v>
      </c>
      <c r="J327" s="10">
        <v>97752</v>
      </c>
      <c r="K327" s="7" t="s">
        <v>464</v>
      </c>
      <c r="L327" s="11" t="s">
        <v>2059</v>
      </c>
      <c r="M327" s="11" t="s">
        <v>2060</v>
      </c>
      <c r="N327" s="11" t="s">
        <v>2061</v>
      </c>
      <c r="O327" s="7" t="s">
        <v>27</v>
      </c>
      <c r="P327" s="8"/>
    </row>
    <row r="328" spans="1:16">
      <c r="A328" s="2">
        <v>327</v>
      </c>
      <c r="B328" s="3" t="s">
        <v>2062</v>
      </c>
      <c r="C328" s="4" t="s">
        <v>2063</v>
      </c>
      <c r="D328" s="3" t="s">
        <v>2064</v>
      </c>
      <c r="E328" s="3" t="s">
        <v>2065</v>
      </c>
      <c r="F328" s="2" t="s">
        <v>39</v>
      </c>
      <c r="G328" s="2" t="s">
        <v>248</v>
      </c>
      <c r="H328" s="3" t="s">
        <v>825</v>
      </c>
      <c r="I328" s="3" t="s">
        <v>40</v>
      </c>
      <c r="J328" s="5">
        <v>13409</v>
      </c>
      <c r="K328" s="2" t="s">
        <v>2066</v>
      </c>
      <c r="L328" s="6" t="s">
        <v>2067</v>
      </c>
      <c r="M328" s="6" t="s">
        <v>2068</v>
      </c>
      <c r="N328" s="6" t="s">
        <v>2069</v>
      </c>
      <c r="O328" s="2" t="s">
        <v>27</v>
      </c>
      <c r="P328" s="3"/>
    </row>
    <row r="329" spans="1:16">
      <c r="A329" s="2">
        <v>328</v>
      </c>
      <c r="B329" s="3" t="s">
        <v>2062</v>
      </c>
      <c r="C329" s="4" t="s">
        <v>2070</v>
      </c>
      <c r="D329" s="3" t="s">
        <v>2071</v>
      </c>
      <c r="E329" s="3" t="s">
        <v>2072</v>
      </c>
      <c r="F329" s="2" t="s">
        <v>20</v>
      </c>
      <c r="G329" s="2" t="s">
        <v>21</v>
      </c>
      <c r="H329" s="3" t="s">
        <v>22</v>
      </c>
      <c r="I329" s="3" t="s">
        <v>2073</v>
      </c>
      <c r="J329" s="5">
        <v>59</v>
      </c>
      <c r="K329" s="2" t="s">
        <v>2074</v>
      </c>
      <c r="L329" s="6" t="s">
        <v>2075</v>
      </c>
      <c r="M329" s="6" t="s">
        <v>2076</v>
      </c>
      <c r="N329" s="6" t="s">
        <v>2075</v>
      </c>
      <c r="O329" s="2" t="s">
        <v>27</v>
      </c>
      <c r="P329" s="3"/>
    </row>
  </sheetData>
  <autoFilter ref="A1:P329" xr:uid="{00000000-0009-0000-0000-000000000000}"/>
  <phoneticPr fontId="5" type="noConversion"/>
  <hyperlinks>
    <hyperlink ref="L2" r:id="rId1" xr:uid="{00000000-0004-0000-0000-000000000000}"/>
    <hyperlink ref="M2" r:id="rId2" xr:uid="{00000000-0004-0000-0000-000001000000}"/>
    <hyperlink ref="N2" r:id="rId3" xr:uid="{00000000-0004-0000-0000-000002000000}"/>
    <hyperlink ref="L3" r:id="rId4" xr:uid="{00000000-0004-0000-0000-000003000000}"/>
    <hyperlink ref="M3" r:id="rId5" xr:uid="{00000000-0004-0000-0000-000004000000}"/>
    <hyperlink ref="N3" r:id="rId6" xr:uid="{00000000-0004-0000-0000-000005000000}"/>
    <hyperlink ref="L4" r:id="rId7" xr:uid="{00000000-0004-0000-0000-000006000000}"/>
    <hyperlink ref="M4" r:id="rId8" xr:uid="{00000000-0004-0000-0000-000007000000}"/>
    <hyperlink ref="N4" r:id="rId9" xr:uid="{00000000-0004-0000-0000-000008000000}"/>
    <hyperlink ref="L5" r:id="rId10" xr:uid="{00000000-0004-0000-0000-000009000000}"/>
    <hyperlink ref="M5" r:id="rId11" xr:uid="{00000000-0004-0000-0000-00000A000000}"/>
    <hyperlink ref="N5" r:id="rId12" xr:uid="{00000000-0004-0000-0000-00000B000000}"/>
    <hyperlink ref="L6" r:id="rId13" xr:uid="{00000000-0004-0000-0000-00000C000000}"/>
    <hyperlink ref="M6" r:id="rId14" xr:uid="{00000000-0004-0000-0000-00000D000000}"/>
    <hyperlink ref="N6" r:id="rId15" xr:uid="{00000000-0004-0000-0000-00000E000000}"/>
    <hyperlink ref="L7" r:id="rId16" xr:uid="{00000000-0004-0000-0000-00000F000000}"/>
    <hyperlink ref="M7" r:id="rId17" xr:uid="{00000000-0004-0000-0000-000010000000}"/>
    <hyperlink ref="N7" r:id="rId18" xr:uid="{00000000-0004-0000-0000-000011000000}"/>
    <hyperlink ref="L8" r:id="rId19" xr:uid="{00000000-0004-0000-0000-000012000000}"/>
    <hyperlink ref="M8" r:id="rId20" xr:uid="{00000000-0004-0000-0000-000013000000}"/>
    <hyperlink ref="N8" r:id="rId21" xr:uid="{00000000-0004-0000-0000-000014000000}"/>
    <hyperlink ref="L9" r:id="rId22" xr:uid="{00000000-0004-0000-0000-000015000000}"/>
    <hyperlink ref="M9" r:id="rId23" xr:uid="{00000000-0004-0000-0000-000016000000}"/>
    <hyperlink ref="N9" r:id="rId24" xr:uid="{00000000-0004-0000-0000-000017000000}"/>
    <hyperlink ref="L10" r:id="rId25" xr:uid="{00000000-0004-0000-0000-000018000000}"/>
    <hyperlink ref="M10" r:id="rId26" xr:uid="{00000000-0004-0000-0000-000019000000}"/>
    <hyperlink ref="N10" r:id="rId27" xr:uid="{00000000-0004-0000-0000-00001A000000}"/>
    <hyperlink ref="L11" r:id="rId28" xr:uid="{00000000-0004-0000-0000-00001B000000}"/>
    <hyperlink ref="M11" r:id="rId29" xr:uid="{00000000-0004-0000-0000-00001C000000}"/>
    <hyperlink ref="N11" r:id="rId30" xr:uid="{00000000-0004-0000-0000-00001D000000}"/>
    <hyperlink ref="L12" r:id="rId31" xr:uid="{00000000-0004-0000-0000-00001E000000}"/>
    <hyperlink ref="M12" r:id="rId32" xr:uid="{00000000-0004-0000-0000-00001F000000}"/>
    <hyperlink ref="N12" r:id="rId33" xr:uid="{00000000-0004-0000-0000-000020000000}"/>
    <hyperlink ref="L13" r:id="rId34" xr:uid="{00000000-0004-0000-0000-000021000000}"/>
    <hyperlink ref="M13" r:id="rId35" xr:uid="{00000000-0004-0000-0000-000022000000}"/>
    <hyperlink ref="N13" r:id="rId36" xr:uid="{00000000-0004-0000-0000-000023000000}"/>
    <hyperlink ref="L14" r:id="rId37" xr:uid="{00000000-0004-0000-0000-000024000000}"/>
    <hyperlink ref="M14" r:id="rId38" xr:uid="{00000000-0004-0000-0000-000025000000}"/>
    <hyperlink ref="N14" r:id="rId39" xr:uid="{00000000-0004-0000-0000-000026000000}"/>
    <hyperlink ref="L15" r:id="rId40" xr:uid="{00000000-0004-0000-0000-000027000000}"/>
    <hyperlink ref="M15" r:id="rId41" xr:uid="{00000000-0004-0000-0000-000028000000}"/>
    <hyperlink ref="N15" r:id="rId42" xr:uid="{00000000-0004-0000-0000-000029000000}"/>
    <hyperlink ref="L16" r:id="rId43" xr:uid="{00000000-0004-0000-0000-00002A000000}"/>
    <hyperlink ref="M16" r:id="rId44" xr:uid="{00000000-0004-0000-0000-00002B000000}"/>
    <hyperlink ref="N16" r:id="rId45" xr:uid="{00000000-0004-0000-0000-00002C000000}"/>
    <hyperlink ref="L17" r:id="rId46" xr:uid="{00000000-0004-0000-0000-00002D000000}"/>
    <hyperlink ref="N17" r:id="rId47" xr:uid="{00000000-0004-0000-0000-00002E000000}"/>
    <hyperlink ref="L18" r:id="rId48" xr:uid="{00000000-0004-0000-0000-00002F000000}"/>
    <hyperlink ref="M18" r:id="rId49" xr:uid="{00000000-0004-0000-0000-000030000000}"/>
    <hyperlink ref="N18" r:id="rId50" xr:uid="{00000000-0004-0000-0000-000031000000}"/>
    <hyperlink ref="L19" r:id="rId51" xr:uid="{00000000-0004-0000-0000-000032000000}"/>
    <hyperlink ref="M19" r:id="rId52" xr:uid="{00000000-0004-0000-0000-000033000000}"/>
    <hyperlink ref="N19" r:id="rId53" xr:uid="{00000000-0004-0000-0000-000034000000}"/>
    <hyperlink ref="L20" r:id="rId54" xr:uid="{00000000-0004-0000-0000-000035000000}"/>
    <hyperlink ref="M20" r:id="rId55" xr:uid="{00000000-0004-0000-0000-000036000000}"/>
    <hyperlink ref="N20" r:id="rId56" xr:uid="{00000000-0004-0000-0000-000037000000}"/>
    <hyperlink ref="L21" r:id="rId57" xr:uid="{00000000-0004-0000-0000-000038000000}"/>
    <hyperlink ref="M21" r:id="rId58" xr:uid="{00000000-0004-0000-0000-000039000000}"/>
    <hyperlink ref="N21" r:id="rId59" xr:uid="{00000000-0004-0000-0000-00003A000000}"/>
    <hyperlink ref="L22" r:id="rId60" xr:uid="{00000000-0004-0000-0000-00003B000000}"/>
    <hyperlink ref="M22" r:id="rId61" xr:uid="{00000000-0004-0000-0000-00003C000000}"/>
    <hyperlink ref="N22" r:id="rId62" xr:uid="{00000000-0004-0000-0000-00003D000000}"/>
    <hyperlink ref="L23" r:id="rId63" xr:uid="{00000000-0004-0000-0000-00003E000000}"/>
    <hyperlink ref="M23" r:id="rId64" xr:uid="{00000000-0004-0000-0000-00003F000000}"/>
    <hyperlink ref="N23" r:id="rId65" xr:uid="{00000000-0004-0000-0000-000040000000}"/>
    <hyperlink ref="L24" r:id="rId66" xr:uid="{00000000-0004-0000-0000-000041000000}"/>
    <hyperlink ref="M24" r:id="rId67" xr:uid="{00000000-0004-0000-0000-000042000000}"/>
    <hyperlink ref="N24" r:id="rId68" xr:uid="{00000000-0004-0000-0000-000043000000}"/>
    <hyperlink ref="L25" r:id="rId69" xr:uid="{00000000-0004-0000-0000-000044000000}"/>
    <hyperlink ref="M25" r:id="rId70" xr:uid="{00000000-0004-0000-0000-000045000000}"/>
    <hyperlink ref="N25" r:id="rId71" xr:uid="{00000000-0004-0000-0000-000046000000}"/>
    <hyperlink ref="L26" r:id="rId72" xr:uid="{00000000-0004-0000-0000-000047000000}"/>
    <hyperlink ref="M26" r:id="rId73" xr:uid="{00000000-0004-0000-0000-000048000000}"/>
    <hyperlink ref="N26" r:id="rId74" xr:uid="{00000000-0004-0000-0000-000049000000}"/>
    <hyperlink ref="L27" r:id="rId75" xr:uid="{00000000-0004-0000-0000-00004A000000}"/>
    <hyperlink ref="M27" r:id="rId76" xr:uid="{00000000-0004-0000-0000-00004B000000}"/>
    <hyperlink ref="N27" r:id="rId77" xr:uid="{00000000-0004-0000-0000-00004C000000}"/>
    <hyperlink ref="L28" r:id="rId78" xr:uid="{00000000-0004-0000-0000-00004D000000}"/>
    <hyperlink ref="M28" r:id="rId79" xr:uid="{00000000-0004-0000-0000-00004E000000}"/>
    <hyperlink ref="N28" r:id="rId80" xr:uid="{00000000-0004-0000-0000-00004F000000}"/>
    <hyperlink ref="L29" r:id="rId81" xr:uid="{00000000-0004-0000-0000-000050000000}"/>
    <hyperlink ref="M29" r:id="rId82" xr:uid="{00000000-0004-0000-0000-000051000000}"/>
    <hyperlink ref="N29" r:id="rId83" xr:uid="{00000000-0004-0000-0000-000052000000}"/>
    <hyperlink ref="L30" r:id="rId84" xr:uid="{00000000-0004-0000-0000-000053000000}"/>
    <hyperlink ref="M30" r:id="rId85" xr:uid="{00000000-0004-0000-0000-000054000000}"/>
    <hyperlink ref="N30" r:id="rId86" xr:uid="{00000000-0004-0000-0000-000055000000}"/>
    <hyperlink ref="L31" r:id="rId87" xr:uid="{00000000-0004-0000-0000-000056000000}"/>
    <hyperlink ref="M31" r:id="rId88" xr:uid="{00000000-0004-0000-0000-000057000000}"/>
    <hyperlink ref="N31" r:id="rId89" xr:uid="{00000000-0004-0000-0000-000058000000}"/>
    <hyperlink ref="L32" r:id="rId90" xr:uid="{00000000-0004-0000-0000-000059000000}"/>
    <hyperlink ref="M32" r:id="rId91" xr:uid="{00000000-0004-0000-0000-00005A000000}"/>
    <hyperlink ref="N32" r:id="rId92" xr:uid="{00000000-0004-0000-0000-00005B000000}"/>
    <hyperlink ref="L33" r:id="rId93" xr:uid="{00000000-0004-0000-0000-00005C000000}"/>
    <hyperlink ref="M33" r:id="rId94" xr:uid="{00000000-0004-0000-0000-00005D000000}"/>
    <hyperlink ref="N33" r:id="rId95" xr:uid="{00000000-0004-0000-0000-00005E000000}"/>
    <hyperlink ref="L34" r:id="rId96" xr:uid="{00000000-0004-0000-0000-00005F000000}"/>
    <hyperlink ref="M34" r:id="rId97" xr:uid="{00000000-0004-0000-0000-000060000000}"/>
    <hyperlink ref="L35" r:id="rId98" xr:uid="{00000000-0004-0000-0000-000061000000}"/>
    <hyperlink ref="M35" r:id="rId99" xr:uid="{00000000-0004-0000-0000-000062000000}"/>
    <hyperlink ref="N35" r:id="rId100" xr:uid="{00000000-0004-0000-0000-000063000000}"/>
    <hyperlink ref="L36" r:id="rId101" xr:uid="{00000000-0004-0000-0000-000064000000}"/>
    <hyperlink ref="M36" r:id="rId102" xr:uid="{00000000-0004-0000-0000-000065000000}"/>
    <hyperlink ref="N36" r:id="rId103" xr:uid="{00000000-0004-0000-0000-000066000000}"/>
    <hyperlink ref="L37" r:id="rId104" xr:uid="{00000000-0004-0000-0000-000067000000}"/>
    <hyperlink ref="M37" r:id="rId105" xr:uid="{00000000-0004-0000-0000-000068000000}"/>
    <hyperlink ref="N37" r:id="rId106" xr:uid="{00000000-0004-0000-0000-000069000000}"/>
    <hyperlink ref="L38" r:id="rId107" xr:uid="{00000000-0004-0000-0000-00006A000000}"/>
    <hyperlink ref="M38" r:id="rId108" xr:uid="{00000000-0004-0000-0000-00006B000000}"/>
    <hyperlink ref="N38" r:id="rId109" xr:uid="{00000000-0004-0000-0000-00006C000000}"/>
    <hyperlink ref="L39" r:id="rId110" xr:uid="{00000000-0004-0000-0000-00006D000000}"/>
    <hyperlink ref="M39" r:id="rId111" xr:uid="{00000000-0004-0000-0000-00006E000000}"/>
    <hyperlink ref="N39" r:id="rId112" xr:uid="{00000000-0004-0000-0000-00006F000000}"/>
    <hyperlink ref="L40" r:id="rId113" xr:uid="{00000000-0004-0000-0000-000070000000}"/>
    <hyperlink ref="M40" r:id="rId114" xr:uid="{00000000-0004-0000-0000-000071000000}"/>
    <hyperlink ref="N40" r:id="rId115" xr:uid="{00000000-0004-0000-0000-000072000000}"/>
    <hyperlink ref="L41" r:id="rId116" xr:uid="{00000000-0004-0000-0000-000073000000}"/>
    <hyperlink ref="M41" r:id="rId117" xr:uid="{00000000-0004-0000-0000-000074000000}"/>
    <hyperlink ref="N41" r:id="rId118" xr:uid="{00000000-0004-0000-0000-000075000000}"/>
    <hyperlink ref="L42" r:id="rId119" xr:uid="{00000000-0004-0000-0000-000076000000}"/>
    <hyperlink ref="M42" r:id="rId120" xr:uid="{00000000-0004-0000-0000-000077000000}"/>
    <hyperlink ref="N42" r:id="rId121" xr:uid="{00000000-0004-0000-0000-000078000000}"/>
    <hyperlink ref="L43" r:id="rId122" xr:uid="{00000000-0004-0000-0000-000079000000}"/>
    <hyperlink ref="M43" r:id="rId123" xr:uid="{00000000-0004-0000-0000-00007A000000}"/>
    <hyperlink ref="N43" r:id="rId124" xr:uid="{00000000-0004-0000-0000-00007B000000}"/>
    <hyperlink ref="L44" r:id="rId125" xr:uid="{00000000-0004-0000-0000-00007C000000}"/>
    <hyperlink ref="M44" r:id="rId126" xr:uid="{00000000-0004-0000-0000-00007D000000}"/>
    <hyperlink ref="N44" r:id="rId127" xr:uid="{00000000-0004-0000-0000-00007E000000}"/>
    <hyperlink ref="L45" r:id="rId128" xr:uid="{00000000-0004-0000-0000-00007F000000}"/>
    <hyperlink ref="M45" r:id="rId129" xr:uid="{00000000-0004-0000-0000-000080000000}"/>
    <hyperlink ref="N45" r:id="rId130" xr:uid="{00000000-0004-0000-0000-000081000000}"/>
    <hyperlink ref="L46" r:id="rId131" xr:uid="{00000000-0004-0000-0000-000082000000}"/>
    <hyperlink ref="M46" r:id="rId132" xr:uid="{00000000-0004-0000-0000-000083000000}"/>
    <hyperlink ref="N46" r:id="rId133" xr:uid="{00000000-0004-0000-0000-000084000000}"/>
    <hyperlink ref="L47" r:id="rId134" xr:uid="{00000000-0004-0000-0000-000085000000}"/>
    <hyperlink ref="M47" r:id="rId135" xr:uid="{00000000-0004-0000-0000-000086000000}"/>
    <hyperlink ref="N47" r:id="rId136" xr:uid="{00000000-0004-0000-0000-000087000000}"/>
    <hyperlink ref="L48" r:id="rId137" xr:uid="{00000000-0004-0000-0000-000088000000}"/>
    <hyperlink ref="M48" r:id="rId138" xr:uid="{00000000-0004-0000-0000-000089000000}"/>
    <hyperlink ref="N48" r:id="rId139" xr:uid="{00000000-0004-0000-0000-00008A000000}"/>
    <hyperlink ref="L49" r:id="rId140" xr:uid="{00000000-0004-0000-0000-00008B000000}"/>
    <hyperlink ref="M49" r:id="rId141" xr:uid="{00000000-0004-0000-0000-00008C000000}"/>
    <hyperlink ref="N49" r:id="rId142" xr:uid="{00000000-0004-0000-0000-00008D000000}"/>
    <hyperlink ref="L50" r:id="rId143" xr:uid="{00000000-0004-0000-0000-00008E000000}"/>
    <hyperlink ref="M50" r:id="rId144" xr:uid="{00000000-0004-0000-0000-00008F000000}"/>
    <hyperlink ref="N50" r:id="rId145" xr:uid="{00000000-0004-0000-0000-000090000000}"/>
    <hyperlink ref="L51" r:id="rId146" xr:uid="{00000000-0004-0000-0000-000091000000}"/>
    <hyperlink ref="M51" r:id="rId147" xr:uid="{00000000-0004-0000-0000-000092000000}"/>
    <hyperlink ref="N51" r:id="rId148" xr:uid="{00000000-0004-0000-0000-000093000000}"/>
    <hyperlink ref="L52" r:id="rId149" xr:uid="{00000000-0004-0000-0000-000094000000}"/>
    <hyperlink ref="M52" r:id="rId150" xr:uid="{00000000-0004-0000-0000-000095000000}"/>
    <hyperlink ref="N52" r:id="rId151" xr:uid="{00000000-0004-0000-0000-000096000000}"/>
    <hyperlink ref="L53" r:id="rId152" xr:uid="{00000000-0004-0000-0000-000097000000}"/>
    <hyperlink ref="M53" r:id="rId153" xr:uid="{00000000-0004-0000-0000-000098000000}"/>
    <hyperlink ref="N53" r:id="rId154" xr:uid="{00000000-0004-0000-0000-000099000000}"/>
    <hyperlink ref="L54" r:id="rId155" xr:uid="{00000000-0004-0000-0000-00009A000000}"/>
    <hyperlink ref="M54" r:id="rId156" xr:uid="{00000000-0004-0000-0000-00009B000000}"/>
    <hyperlink ref="N54" r:id="rId157" xr:uid="{00000000-0004-0000-0000-00009C000000}"/>
    <hyperlink ref="L55" r:id="rId158" xr:uid="{00000000-0004-0000-0000-00009D000000}"/>
    <hyperlink ref="M55" r:id="rId159" xr:uid="{00000000-0004-0000-0000-00009E000000}"/>
    <hyperlink ref="N55" r:id="rId160" xr:uid="{00000000-0004-0000-0000-00009F000000}"/>
    <hyperlink ref="L56" r:id="rId161" xr:uid="{00000000-0004-0000-0000-0000A0000000}"/>
    <hyperlink ref="M56" r:id="rId162" xr:uid="{00000000-0004-0000-0000-0000A1000000}"/>
    <hyperlink ref="N56" r:id="rId163" xr:uid="{00000000-0004-0000-0000-0000A2000000}"/>
    <hyperlink ref="L57" r:id="rId164" xr:uid="{00000000-0004-0000-0000-0000A3000000}"/>
    <hyperlink ref="M57" r:id="rId165" xr:uid="{00000000-0004-0000-0000-0000A4000000}"/>
    <hyperlink ref="N57" r:id="rId166" xr:uid="{00000000-0004-0000-0000-0000A5000000}"/>
    <hyperlink ref="L58" r:id="rId167" xr:uid="{00000000-0004-0000-0000-0000A6000000}"/>
    <hyperlink ref="M58" r:id="rId168" xr:uid="{00000000-0004-0000-0000-0000A7000000}"/>
    <hyperlink ref="N58" r:id="rId169" xr:uid="{00000000-0004-0000-0000-0000A8000000}"/>
    <hyperlink ref="L59" r:id="rId170" xr:uid="{00000000-0004-0000-0000-0000A9000000}"/>
    <hyperlink ref="M59" r:id="rId171" xr:uid="{00000000-0004-0000-0000-0000AA000000}"/>
    <hyperlink ref="N59" r:id="rId172" xr:uid="{00000000-0004-0000-0000-0000AB000000}"/>
    <hyperlink ref="L60" r:id="rId173" xr:uid="{00000000-0004-0000-0000-0000AC000000}"/>
    <hyperlink ref="M60" r:id="rId174" xr:uid="{00000000-0004-0000-0000-0000AD000000}"/>
    <hyperlink ref="N60" r:id="rId175" xr:uid="{00000000-0004-0000-0000-0000AE000000}"/>
    <hyperlink ref="L61" r:id="rId176" xr:uid="{00000000-0004-0000-0000-0000AF000000}"/>
    <hyperlink ref="M61" r:id="rId177" xr:uid="{00000000-0004-0000-0000-0000B0000000}"/>
    <hyperlink ref="N61" r:id="rId178" xr:uid="{00000000-0004-0000-0000-0000B1000000}"/>
    <hyperlink ref="L62" r:id="rId179" xr:uid="{00000000-0004-0000-0000-0000B2000000}"/>
    <hyperlink ref="M62" r:id="rId180" xr:uid="{00000000-0004-0000-0000-0000B3000000}"/>
    <hyperlink ref="N62" r:id="rId181" xr:uid="{00000000-0004-0000-0000-0000B4000000}"/>
    <hyperlink ref="L63" r:id="rId182" xr:uid="{00000000-0004-0000-0000-0000B5000000}"/>
    <hyperlink ref="M63" r:id="rId183" xr:uid="{00000000-0004-0000-0000-0000B6000000}"/>
    <hyperlink ref="N63" r:id="rId184" xr:uid="{00000000-0004-0000-0000-0000B7000000}"/>
    <hyperlink ref="L64" r:id="rId185" xr:uid="{00000000-0004-0000-0000-0000B8000000}"/>
    <hyperlink ref="M64" r:id="rId186" xr:uid="{00000000-0004-0000-0000-0000B9000000}"/>
    <hyperlink ref="N64" r:id="rId187" xr:uid="{00000000-0004-0000-0000-0000BA000000}"/>
    <hyperlink ref="L65" r:id="rId188" xr:uid="{00000000-0004-0000-0000-0000BB000000}"/>
    <hyperlink ref="M65" r:id="rId189" xr:uid="{00000000-0004-0000-0000-0000BC000000}"/>
    <hyperlink ref="N65" r:id="rId190" xr:uid="{00000000-0004-0000-0000-0000BD000000}"/>
    <hyperlink ref="L66" r:id="rId191" xr:uid="{00000000-0004-0000-0000-0000BE000000}"/>
    <hyperlink ref="M66" r:id="rId192" xr:uid="{00000000-0004-0000-0000-0000BF000000}"/>
    <hyperlink ref="N66" r:id="rId193" xr:uid="{00000000-0004-0000-0000-0000C0000000}"/>
    <hyperlink ref="L67" r:id="rId194" xr:uid="{00000000-0004-0000-0000-0000C1000000}"/>
    <hyperlink ref="M67" r:id="rId195" xr:uid="{00000000-0004-0000-0000-0000C2000000}"/>
    <hyperlink ref="N67" r:id="rId196" xr:uid="{00000000-0004-0000-0000-0000C3000000}"/>
    <hyperlink ref="L68" r:id="rId197" xr:uid="{00000000-0004-0000-0000-0000C4000000}"/>
    <hyperlink ref="M68" r:id="rId198" xr:uid="{00000000-0004-0000-0000-0000C5000000}"/>
    <hyperlink ref="N68" r:id="rId199" xr:uid="{00000000-0004-0000-0000-0000C6000000}"/>
    <hyperlink ref="L69" r:id="rId200" xr:uid="{00000000-0004-0000-0000-0000C7000000}"/>
    <hyperlink ref="M69" r:id="rId201" xr:uid="{00000000-0004-0000-0000-0000C8000000}"/>
    <hyperlink ref="N69" r:id="rId202" xr:uid="{00000000-0004-0000-0000-0000C9000000}"/>
    <hyperlink ref="L70" r:id="rId203" xr:uid="{00000000-0004-0000-0000-0000CA000000}"/>
    <hyperlink ref="M70" r:id="rId204" xr:uid="{00000000-0004-0000-0000-0000CB000000}"/>
    <hyperlink ref="N70" r:id="rId205" xr:uid="{00000000-0004-0000-0000-0000CC000000}"/>
    <hyperlink ref="L71" r:id="rId206" xr:uid="{00000000-0004-0000-0000-0000CD000000}"/>
    <hyperlink ref="M71" r:id="rId207" xr:uid="{00000000-0004-0000-0000-0000CE000000}"/>
    <hyperlink ref="N71" r:id="rId208" xr:uid="{00000000-0004-0000-0000-0000CF000000}"/>
    <hyperlink ref="L72" r:id="rId209" xr:uid="{00000000-0004-0000-0000-0000D0000000}"/>
    <hyperlink ref="M72" r:id="rId210" xr:uid="{00000000-0004-0000-0000-0000D1000000}"/>
    <hyperlink ref="N72" r:id="rId211" xr:uid="{00000000-0004-0000-0000-0000D2000000}"/>
    <hyperlink ref="L73" r:id="rId212" xr:uid="{00000000-0004-0000-0000-0000D3000000}"/>
    <hyperlink ref="M73" r:id="rId213" xr:uid="{00000000-0004-0000-0000-0000D4000000}"/>
    <hyperlink ref="N73" r:id="rId214" xr:uid="{00000000-0004-0000-0000-0000D5000000}"/>
    <hyperlink ref="L74" r:id="rId215" xr:uid="{00000000-0004-0000-0000-0000D6000000}"/>
    <hyperlink ref="M74" r:id="rId216" location="page1" xr:uid="{00000000-0004-0000-0000-0000D7000000}"/>
    <hyperlink ref="N74" r:id="rId217" xr:uid="{00000000-0004-0000-0000-0000D8000000}"/>
    <hyperlink ref="L75" r:id="rId218" xr:uid="{00000000-0004-0000-0000-0000D9000000}"/>
    <hyperlink ref="M75" r:id="rId219" xr:uid="{00000000-0004-0000-0000-0000DA000000}"/>
    <hyperlink ref="N75" r:id="rId220" xr:uid="{00000000-0004-0000-0000-0000DB000000}"/>
    <hyperlink ref="L76" r:id="rId221" xr:uid="{00000000-0004-0000-0000-0000DC000000}"/>
    <hyperlink ref="M76" r:id="rId222" xr:uid="{00000000-0004-0000-0000-0000DD000000}"/>
    <hyperlink ref="N76" r:id="rId223" xr:uid="{00000000-0004-0000-0000-0000DE000000}"/>
    <hyperlink ref="L77" r:id="rId224" xr:uid="{00000000-0004-0000-0000-0000DF000000}"/>
    <hyperlink ref="M77" r:id="rId225" xr:uid="{00000000-0004-0000-0000-0000E0000000}"/>
    <hyperlink ref="N77" r:id="rId226" xr:uid="{00000000-0004-0000-0000-0000E1000000}"/>
    <hyperlink ref="L78" r:id="rId227" xr:uid="{00000000-0004-0000-0000-0000E2000000}"/>
    <hyperlink ref="M78" r:id="rId228" xr:uid="{00000000-0004-0000-0000-0000E3000000}"/>
    <hyperlink ref="N78" r:id="rId229" xr:uid="{00000000-0004-0000-0000-0000E4000000}"/>
    <hyperlink ref="L79" r:id="rId230" xr:uid="{00000000-0004-0000-0000-0000E5000000}"/>
    <hyperlink ref="M79" r:id="rId231" xr:uid="{00000000-0004-0000-0000-0000E6000000}"/>
    <hyperlink ref="N79" r:id="rId232" xr:uid="{00000000-0004-0000-0000-0000E7000000}"/>
    <hyperlink ref="L80" r:id="rId233" xr:uid="{00000000-0004-0000-0000-0000E8000000}"/>
    <hyperlink ref="M80" r:id="rId234" xr:uid="{00000000-0004-0000-0000-0000E9000000}"/>
    <hyperlink ref="N80" r:id="rId235" xr:uid="{00000000-0004-0000-0000-0000EA000000}"/>
    <hyperlink ref="L81" r:id="rId236" xr:uid="{00000000-0004-0000-0000-0000EB000000}"/>
    <hyperlink ref="M81" r:id="rId237" xr:uid="{00000000-0004-0000-0000-0000EC000000}"/>
    <hyperlink ref="N81" r:id="rId238" xr:uid="{00000000-0004-0000-0000-0000ED000000}"/>
    <hyperlink ref="L82" r:id="rId239" xr:uid="{00000000-0004-0000-0000-0000EE000000}"/>
    <hyperlink ref="M82" r:id="rId240" xr:uid="{00000000-0004-0000-0000-0000EF000000}"/>
    <hyperlink ref="N82" r:id="rId241" xr:uid="{00000000-0004-0000-0000-0000F0000000}"/>
    <hyperlink ref="L83" r:id="rId242" xr:uid="{00000000-0004-0000-0000-0000F1000000}"/>
    <hyperlink ref="M83" r:id="rId243" xr:uid="{00000000-0004-0000-0000-0000F2000000}"/>
    <hyperlink ref="N83" r:id="rId244" xr:uid="{00000000-0004-0000-0000-0000F3000000}"/>
    <hyperlink ref="L84" r:id="rId245" xr:uid="{00000000-0004-0000-0000-0000F4000000}"/>
    <hyperlink ref="M84" r:id="rId246" xr:uid="{00000000-0004-0000-0000-0000F5000000}"/>
    <hyperlink ref="N84" r:id="rId247" xr:uid="{00000000-0004-0000-0000-0000F6000000}"/>
    <hyperlink ref="L85" r:id="rId248" xr:uid="{00000000-0004-0000-0000-0000F7000000}"/>
    <hyperlink ref="M85" r:id="rId249" xr:uid="{00000000-0004-0000-0000-0000F8000000}"/>
    <hyperlink ref="N85" r:id="rId250" xr:uid="{00000000-0004-0000-0000-0000F9000000}"/>
    <hyperlink ref="L86" r:id="rId251" xr:uid="{00000000-0004-0000-0000-0000FA000000}"/>
    <hyperlink ref="M86" r:id="rId252" xr:uid="{00000000-0004-0000-0000-0000FB000000}"/>
    <hyperlink ref="N86" r:id="rId253" xr:uid="{00000000-0004-0000-0000-0000FC000000}"/>
    <hyperlink ref="L87" r:id="rId254" xr:uid="{00000000-0004-0000-0000-0000FD000000}"/>
    <hyperlink ref="M87" r:id="rId255" xr:uid="{00000000-0004-0000-0000-0000FE000000}"/>
    <hyperlink ref="N87" r:id="rId256" xr:uid="{00000000-0004-0000-0000-0000FF000000}"/>
    <hyperlink ref="L88" r:id="rId257" xr:uid="{00000000-0004-0000-0000-000000010000}"/>
    <hyperlink ref="M88" r:id="rId258" xr:uid="{00000000-0004-0000-0000-000001010000}"/>
    <hyperlink ref="N88" r:id="rId259" xr:uid="{00000000-0004-0000-0000-000002010000}"/>
    <hyperlink ref="L89" r:id="rId260" xr:uid="{00000000-0004-0000-0000-000003010000}"/>
    <hyperlink ref="M89" r:id="rId261" xr:uid="{00000000-0004-0000-0000-000004010000}"/>
    <hyperlink ref="N89" r:id="rId262" xr:uid="{00000000-0004-0000-0000-000005010000}"/>
    <hyperlink ref="L90" r:id="rId263" xr:uid="{00000000-0004-0000-0000-000006010000}"/>
    <hyperlink ref="M90" r:id="rId264" xr:uid="{00000000-0004-0000-0000-000007010000}"/>
    <hyperlink ref="N90" r:id="rId265" xr:uid="{00000000-0004-0000-0000-000008010000}"/>
    <hyperlink ref="L91" r:id="rId266" xr:uid="{00000000-0004-0000-0000-000009010000}"/>
    <hyperlink ref="M91" r:id="rId267" xr:uid="{00000000-0004-0000-0000-00000A010000}"/>
    <hyperlink ref="N91" r:id="rId268" xr:uid="{00000000-0004-0000-0000-00000B010000}"/>
    <hyperlink ref="L92" r:id="rId269" xr:uid="{00000000-0004-0000-0000-00000C010000}"/>
    <hyperlink ref="M92" r:id="rId270" xr:uid="{00000000-0004-0000-0000-00000D010000}"/>
    <hyperlink ref="N92" r:id="rId271" xr:uid="{00000000-0004-0000-0000-00000E010000}"/>
    <hyperlink ref="L93" r:id="rId272" xr:uid="{00000000-0004-0000-0000-00000F010000}"/>
    <hyperlink ref="M93" r:id="rId273" xr:uid="{00000000-0004-0000-0000-000010010000}"/>
    <hyperlink ref="N93" r:id="rId274" xr:uid="{00000000-0004-0000-0000-000011010000}"/>
    <hyperlink ref="L94" r:id="rId275" xr:uid="{00000000-0004-0000-0000-000012010000}"/>
    <hyperlink ref="M94" r:id="rId276" xr:uid="{00000000-0004-0000-0000-000013010000}"/>
    <hyperlink ref="N94" r:id="rId277" xr:uid="{00000000-0004-0000-0000-000014010000}"/>
    <hyperlink ref="L95" r:id="rId278" xr:uid="{00000000-0004-0000-0000-000015010000}"/>
    <hyperlink ref="M95" r:id="rId279" xr:uid="{00000000-0004-0000-0000-000016010000}"/>
    <hyperlink ref="N95" r:id="rId280" xr:uid="{00000000-0004-0000-0000-000017010000}"/>
    <hyperlink ref="L96" r:id="rId281" xr:uid="{00000000-0004-0000-0000-000018010000}"/>
    <hyperlink ref="M96" r:id="rId282" xr:uid="{00000000-0004-0000-0000-000019010000}"/>
    <hyperlink ref="N96" r:id="rId283" xr:uid="{00000000-0004-0000-0000-00001A010000}"/>
    <hyperlink ref="L97" r:id="rId284" xr:uid="{00000000-0004-0000-0000-00001B010000}"/>
    <hyperlink ref="M97" r:id="rId285" xr:uid="{00000000-0004-0000-0000-00001C010000}"/>
    <hyperlink ref="N97" r:id="rId286" xr:uid="{00000000-0004-0000-0000-00001D010000}"/>
    <hyperlink ref="L98" r:id="rId287" xr:uid="{00000000-0004-0000-0000-00001E010000}"/>
    <hyperlink ref="M98" r:id="rId288" xr:uid="{00000000-0004-0000-0000-00001F010000}"/>
    <hyperlink ref="N98" r:id="rId289" xr:uid="{00000000-0004-0000-0000-000020010000}"/>
    <hyperlink ref="L99" r:id="rId290" xr:uid="{00000000-0004-0000-0000-000021010000}"/>
    <hyperlink ref="M99" r:id="rId291" xr:uid="{00000000-0004-0000-0000-000022010000}"/>
    <hyperlink ref="N99" r:id="rId292" xr:uid="{00000000-0004-0000-0000-000023010000}"/>
    <hyperlink ref="L100" r:id="rId293" xr:uid="{00000000-0004-0000-0000-000024010000}"/>
    <hyperlink ref="M100" r:id="rId294" xr:uid="{00000000-0004-0000-0000-000025010000}"/>
    <hyperlink ref="N100" r:id="rId295" xr:uid="{00000000-0004-0000-0000-000026010000}"/>
    <hyperlink ref="L101" r:id="rId296" xr:uid="{00000000-0004-0000-0000-000027010000}"/>
    <hyperlink ref="M101" r:id="rId297" xr:uid="{00000000-0004-0000-0000-000028010000}"/>
    <hyperlink ref="N101" r:id="rId298" xr:uid="{00000000-0004-0000-0000-000029010000}"/>
    <hyperlink ref="L102" r:id="rId299" xr:uid="{00000000-0004-0000-0000-00002A010000}"/>
    <hyperlink ref="M102" r:id="rId300" xr:uid="{00000000-0004-0000-0000-00002B010000}"/>
    <hyperlink ref="N102" r:id="rId301" xr:uid="{00000000-0004-0000-0000-00002C010000}"/>
    <hyperlink ref="L103" r:id="rId302" xr:uid="{00000000-0004-0000-0000-00002D010000}"/>
    <hyperlink ref="M103" r:id="rId303" xr:uid="{00000000-0004-0000-0000-00002E010000}"/>
    <hyperlink ref="N103" r:id="rId304" xr:uid="{00000000-0004-0000-0000-00002F010000}"/>
    <hyperlink ref="L104" r:id="rId305" xr:uid="{00000000-0004-0000-0000-000030010000}"/>
    <hyperlink ref="M104" r:id="rId306" xr:uid="{00000000-0004-0000-0000-000031010000}"/>
    <hyperlink ref="N104" r:id="rId307" xr:uid="{00000000-0004-0000-0000-000032010000}"/>
    <hyperlink ref="L105" r:id="rId308" xr:uid="{00000000-0004-0000-0000-000033010000}"/>
    <hyperlink ref="M105" r:id="rId309" xr:uid="{00000000-0004-0000-0000-000034010000}"/>
    <hyperlink ref="N105" r:id="rId310" xr:uid="{00000000-0004-0000-0000-000035010000}"/>
    <hyperlink ref="L106" r:id="rId311" xr:uid="{00000000-0004-0000-0000-000036010000}"/>
    <hyperlink ref="M106" r:id="rId312" xr:uid="{00000000-0004-0000-0000-000037010000}"/>
    <hyperlink ref="N106" r:id="rId313" xr:uid="{00000000-0004-0000-0000-000038010000}"/>
    <hyperlink ref="L107" r:id="rId314" xr:uid="{00000000-0004-0000-0000-000039010000}"/>
    <hyperlink ref="M107" r:id="rId315" xr:uid="{00000000-0004-0000-0000-00003A010000}"/>
    <hyperlink ref="N107" r:id="rId316" xr:uid="{00000000-0004-0000-0000-00003B010000}"/>
    <hyperlink ref="L108" r:id="rId317" xr:uid="{00000000-0004-0000-0000-00003C010000}"/>
    <hyperlink ref="M108" r:id="rId318" xr:uid="{00000000-0004-0000-0000-00003D010000}"/>
    <hyperlink ref="N108" r:id="rId319" xr:uid="{00000000-0004-0000-0000-00003E010000}"/>
    <hyperlink ref="L109" r:id="rId320" xr:uid="{00000000-0004-0000-0000-00003F010000}"/>
    <hyperlink ref="M109" r:id="rId321" xr:uid="{00000000-0004-0000-0000-000040010000}"/>
    <hyperlink ref="N109" r:id="rId322" xr:uid="{00000000-0004-0000-0000-000041010000}"/>
    <hyperlink ref="L110" r:id="rId323" xr:uid="{00000000-0004-0000-0000-000042010000}"/>
    <hyperlink ref="M110" r:id="rId324" xr:uid="{00000000-0004-0000-0000-000043010000}"/>
    <hyperlink ref="N110" r:id="rId325" xr:uid="{00000000-0004-0000-0000-000044010000}"/>
    <hyperlink ref="L111" r:id="rId326" xr:uid="{00000000-0004-0000-0000-000045010000}"/>
    <hyperlink ref="M111" r:id="rId327" xr:uid="{00000000-0004-0000-0000-000046010000}"/>
    <hyperlink ref="N111" r:id="rId328" xr:uid="{00000000-0004-0000-0000-000047010000}"/>
    <hyperlink ref="L112" r:id="rId329" xr:uid="{00000000-0004-0000-0000-000048010000}"/>
    <hyperlink ref="M112" r:id="rId330" xr:uid="{00000000-0004-0000-0000-000049010000}"/>
    <hyperlink ref="N112" r:id="rId331" xr:uid="{00000000-0004-0000-0000-00004A010000}"/>
    <hyperlink ref="L113" r:id="rId332" xr:uid="{00000000-0004-0000-0000-00004B010000}"/>
    <hyperlink ref="M113" r:id="rId333" xr:uid="{00000000-0004-0000-0000-00004C010000}"/>
    <hyperlink ref="N113" r:id="rId334" xr:uid="{00000000-0004-0000-0000-00004D010000}"/>
    <hyperlink ref="L114" r:id="rId335" xr:uid="{00000000-0004-0000-0000-00004E010000}"/>
    <hyperlink ref="M114" r:id="rId336" xr:uid="{00000000-0004-0000-0000-00004F010000}"/>
    <hyperlink ref="N114" r:id="rId337" xr:uid="{00000000-0004-0000-0000-000050010000}"/>
    <hyperlink ref="L115" r:id="rId338" xr:uid="{00000000-0004-0000-0000-000051010000}"/>
    <hyperlink ref="M115" r:id="rId339" xr:uid="{00000000-0004-0000-0000-000052010000}"/>
    <hyperlink ref="N115" r:id="rId340" xr:uid="{00000000-0004-0000-0000-000053010000}"/>
    <hyperlink ref="L116" r:id="rId341" xr:uid="{00000000-0004-0000-0000-000054010000}"/>
    <hyperlink ref="M116" r:id="rId342" xr:uid="{00000000-0004-0000-0000-000055010000}"/>
    <hyperlink ref="N116" r:id="rId343" xr:uid="{00000000-0004-0000-0000-000056010000}"/>
    <hyperlink ref="L117" r:id="rId344" xr:uid="{00000000-0004-0000-0000-000057010000}"/>
    <hyperlink ref="M117" r:id="rId345" xr:uid="{00000000-0004-0000-0000-000058010000}"/>
    <hyperlink ref="N117" r:id="rId346" xr:uid="{00000000-0004-0000-0000-000059010000}"/>
    <hyperlink ref="L118" r:id="rId347" xr:uid="{00000000-0004-0000-0000-00005A010000}"/>
    <hyperlink ref="M118" r:id="rId348" xr:uid="{00000000-0004-0000-0000-00005B010000}"/>
    <hyperlink ref="N118" r:id="rId349" xr:uid="{00000000-0004-0000-0000-00005C010000}"/>
    <hyperlink ref="L119" r:id="rId350" xr:uid="{00000000-0004-0000-0000-00005D010000}"/>
    <hyperlink ref="M119" r:id="rId351" xr:uid="{00000000-0004-0000-0000-00005E010000}"/>
    <hyperlink ref="N119" r:id="rId352" xr:uid="{00000000-0004-0000-0000-00005F010000}"/>
    <hyperlink ref="L120" r:id="rId353" xr:uid="{00000000-0004-0000-0000-000060010000}"/>
    <hyperlink ref="M120" r:id="rId354" xr:uid="{00000000-0004-0000-0000-000061010000}"/>
    <hyperlink ref="N120" r:id="rId355" xr:uid="{00000000-0004-0000-0000-000062010000}"/>
    <hyperlink ref="L121" r:id="rId356" xr:uid="{00000000-0004-0000-0000-000063010000}"/>
    <hyperlink ref="M121" r:id="rId357" xr:uid="{00000000-0004-0000-0000-000064010000}"/>
    <hyperlink ref="N121" r:id="rId358" xr:uid="{00000000-0004-0000-0000-000065010000}"/>
    <hyperlink ref="L122" r:id="rId359" xr:uid="{00000000-0004-0000-0000-000066010000}"/>
    <hyperlink ref="M122" r:id="rId360" xr:uid="{00000000-0004-0000-0000-000067010000}"/>
    <hyperlink ref="N122" r:id="rId361" xr:uid="{00000000-0004-0000-0000-000068010000}"/>
    <hyperlink ref="L123" r:id="rId362" xr:uid="{00000000-0004-0000-0000-000069010000}"/>
    <hyperlink ref="M123" r:id="rId363" xr:uid="{00000000-0004-0000-0000-00006A010000}"/>
    <hyperlink ref="N123" r:id="rId364" xr:uid="{00000000-0004-0000-0000-00006B010000}"/>
    <hyperlink ref="L124" r:id="rId365" xr:uid="{00000000-0004-0000-0000-00006C010000}"/>
    <hyperlink ref="M124" r:id="rId366" xr:uid="{00000000-0004-0000-0000-00006D010000}"/>
    <hyperlink ref="N124" r:id="rId367" xr:uid="{00000000-0004-0000-0000-00006E010000}"/>
    <hyperlink ref="L125" r:id="rId368" xr:uid="{00000000-0004-0000-0000-00006F010000}"/>
    <hyperlink ref="M125" r:id="rId369" xr:uid="{00000000-0004-0000-0000-000070010000}"/>
    <hyperlink ref="N125" r:id="rId370" xr:uid="{00000000-0004-0000-0000-000071010000}"/>
    <hyperlink ref="L126" r:id="rId371" xr:uid="{00000000-0004-0000-0000-000072010000}"/>
    <hyperlink ref="M126" r:id="rId372" xr:uid="{00000000-0004-0000-0000-000073010000}"/>
    <hyperlink ref="N126" r:id="rId373" xr:uid="{00000000-0004-0000-0000-000074010000}"/>
    <hyperlink ref="L127" r:id="rId374" xr:uid="{00000000-0004-0000-0000-000075010000}"/>
    <hyperlink ref="M127" r:id="rId375" xr:uid="{00000000-0004-0000-0000-000076010000}"/>
    <hyperlink ref="N127" r:id="rId376" xr:uid="{00000000-0004-0000-0000-000077010000}"/>
    <hyperlink ref="L128" r:id="rId377" xr:uid="{00000000-0004-0000-0000-000078010000}"/>
    <hyperlink ref="M128" r:id="rId378" xr:uid="{00000000-0004-0000-0000-000079010000}"/>
    <hyperlink ref="N128" r:id="rId379" xr:uid="{00000000-0004-0000-0000-00007A010000}"/>
    <hyperlink ref="L129" r:id="rId380" xr:uid="{00000000-0004-0000-0000-00007B010000}"/>
    <hyperlink ref="M129" r:id="rId381" xr:uid="{00000000-0004-0000-0000-00007C010000}"/>
    <hyperlink ref="N129" r:id="rId382" xr:uid="{00000000-0004-0000-0000-00007D010000}"/>
    <hyperlink ref="L130" r:id="rId383" xr:uid="{00000000-0004-0000-0000-00007E010000}"/>
    <hyperlink ref="M130" r:id="rId384" xr:uid="{00000000-0004-0000-0000-00007F010000}"/>
    <hyperlink ref="N130" r:id="rId385" xr:uid="{00000000-0004-0000-0000-000080010000}"/>
    <hyperlink ref="L131" r:id="rId386" xr:uid="{00000000-0004-0000-0000-000081010000}"/>
    <hyperlink ref="M131" r:id="rId387" xr:uid="{00000000-0004-0000-0000-000082010000}"/>
    <hyperlink ref="N131" r:id="rId388" xr:uid="{00000000-0004-0000-0000-000083010000}"/>
    <hyperlink ref="L132" r:id="rId389" xr:uid="{00000000-0004-0000-0000-000084010000}"/>
    <hyperlink ref="M132" r:id="rId390" xr:uid="{00000000-0004-0000-0000-000085010000}"/>
    <hyperlink ref="N132" r:id="rId391" xr:uid="{00000000-0004-0000-0000-000086010000}"/>
    <hyperlink ref="L133" r:id="rId392" xr:uid="{00000000-0004-0000-0000-000087010000}"/>
    <hyperlink ref="M133" r:id="rId393" xr:uid="{00000000-0004-0000-0000-000088010000}"/>
    <hyperlink ref="N133" r:id="rId394" xr:uid="{00000000-0004-0000-0000-000089010000}"/>
    <hyperlink ref="L134" r:id="rId395" xr:uid="{00000000-0004-0000-0000-00008A010000}"/>
    <hyperlink ref="M134" r:id="rId396" xr:uid="{00000000-0004-0000-0000-00008B010000}"/>
    <hyperlink ref="N134" r:id="rId397" xr:uid="{00000000-0004-0000-0000-00008C010000}"/>
    <hyperlink ref="L135" r:id="rId398" xr:uid="{00000000-0004-0000-0000-00008D010000}"/>
    <hyperlink ref="M135" r:id="rId399" xr:uid="{00000000-0004-0000-0000-00008E010000}"/>
    <hyperlink ref="N135" r:id="rId400" xr:uid="{00000000-0004-0000-0000-00008F010000}"/>
    <hyperlink ref="L136" r:id="rId401" xr:uid="{00000000-0004-0000-0000-000090010000}"/>
    <hyperlink ref="M136" r:id="rId402" xr:uid="{00000000-0004-0000-0000-000091010000}"/>
    <hyperlink ref="N136" r:id="rId403" xr:uid="{00000000-0004-0000-0000-000092010000}"/>
    <hyperlink ref="L137" r:id="rId404" xr:uid="{00000000-0004-0000-0000-000093010000}"/>
    <hyperlink ref="M137" r:id="rId405" xr:uid="{00000000-0004-0000-0000-000094010000}"/>
    <hyperlink ref="N137" r:id="rId406" xr:uid="{00000000-0004-0000-0000-000095010000}"/>
    <hyperlink ref="L138" r:id="rId407" xr:uid="{00000000-0004-0000-0000-000096010000}"/>
    <hyperlink ref="M138" r:id="rId408" xr:uid="{00000000-0004-0000-0000-000097010000}"/>
    <hyperlink ref="N138" r:id="rId409" xr:uid="{00000000-0004-0000-0000-000098010000}"/>
    <hyperlink ref="L139" r:id="rId410" xr:uid="{00000000-0004-0000-0000-000099010000}"/>
    <hyperlink ref="M139" r:id="rId411" xr:uid="{00000000-0004-0000-0000-00009A010000}"/>
    <hyperlink ref="N139" r:id="rId412" xr:uid="{00000000-0004-0000-0000-00009B010000}"/>
    <hyperlink ref="L140" r:id="rId413" xr:uid="{00000000-0004-0000-0000-00009C010000}"/>
    <hyperlink ref="M140" r:id="rId414" xr:uid="{00000000-0004-0000-0000-00009D010000}"/>
    <hyperlink ref="N140" r:id="rId415" xr:uid="{00000000-0004-0000-0000-00009E010000}"/>
    <hyperlink ref="L141" r:id="rId416" xr:uid="{00000000-0004-0000-0000-00009F010000}"/>
    <hyperlink ref="M141" r:id="rId417" xr:uid="{00000000-0004-0000-0000-0000A0010000}"/>
    <hyperlink ref="N141" r:id="rId418" xr:uid="{00000000-0004-0000-0000-0000A1010000}"/>
    <hyperlink ref="L142" r:id="rId419" xr:uid="{00000000-0004-0000-0000-0000A2010000}"/>
    <hyperlink ref="M142" r:id="rId420" xr:uid="{00000000-0004-0000-0000-0000A3010000}"/>
    <hyperlink ref="N142" r:id="rId421" xr:uid="{00000000-0004-0000-0000-0000A4010000}"/>
    <hyperlink ref="L143" r:id="rId422" xr:uid="{00000000-0004-0000-0000-0000A5010000}"/>
    <hyperlink ref="M143" r:id="rId423" xr:uid="{00000000-0004-0000-0000-0000A6010000}"/>
    <hyperlink ref="N143" r:id="rId424" xr:uid="{00000000-0004-0000-0000-0000A7010000}"/>
    <hyperlink ref="L144" r:id="rId425" xr:uid="{00000000-0004-0000-0000-0000A8010000}"/>
    <hyperlink ref="M144" r:id="rId426" xr:uid="{00000000-0004-0000-0000-0000A9010000}"/>
    <hyperlink ref="N144" r:id="rId427" xr:uid="{00000000-0004-0000-0000-0000AA010000}"/>
    <hyperlink ref="L145" r:id="rId428" xr:uid="{00000000-0004-0000-0000-0000AB010000}"/>
    <hyperlink ref="M145" r:id="rId429" xr:uid="{00000000-0004-0000-0000-0000AC010000}"/>
    <hyperlink ref="N145" r:id="rId430" xr:uid="{00000000-0004-0000-0000-0000AD010000}"/>
    <hyperlink ref="L146" r:id="rId431" xr:uid="{00000000-0004-0000-0000-0000AE010000}"/>
    <hyperlink ref="M146" r:id="rId432" xr:uid="{00000000-0004-0000-0000-0000AF010000}"/>
    <hyperlink ref="N146" r:id="rId433" xr:uid="{00000000-0004-0000-0000-0000B0010000}"/>
    <hyperlink ref="L147" r:id="rId434" xr:uid="{00000000-0004-0000-0000-0000B1010000}"/>
    <hyperlink ref="M147" r:id="rId435" xr:uid="{00000000-0004-0000-0000-0000B2010000}"/>
    <hyperlink ref="N147" r:id="rId436" xr:uid="{00000000-0004-0000-0000-0000B3010000}"/>
    <hyperlink ref="L148" r:id="rId437" xr:uid="{00000000-0004-0000-0000-0000B4010000}"/>
    <hyperlink ref="M148" r:id="rId438" xr:uid="{00000000-0004-0000-0000-0000B5010000}"/>
    <hyperlink ref="N148" r:id="rId439" xr:uid="{00000000-0004-0000-0000-0000B6010000}"/>
    <hyperlink ref="L149" r:id="rId440" xr:uid="{00000000-0004-0000-0000-0000B7010000}"/>
    <hyperlink ref="M149" r:id="rId441" xr:uid="{00000000-0004-0000-0000-0000B8010000}"/>
    <hyperlink ref="N149" r:id="rId442" xr:uid="{00000000-0004-0000-0000-0000B9010000}"/>
    <hyperlink ref="L150" r:id="rId443" xr:uid="{00000000-0004-0000-0000-0000BA010000}"/>
    <hyperlink ref="M150" r:id="rId444" xr:uid="{00000000-0004-0000-0000-0000BB010000}"/>
    <hyperlink ref="N150" r:id="rId445" xr:uid="{00000000-0004-0000-0000-0000BC010000}"/>
    <hyperlink ref="L151" r:id="rId446" xr:uid="{00000000-0004-0000-0000-0000BD010000}"/>
    <hyperlink ref="M151" r:id="rId447" xr:uid="{00000000-0004-0000-0000-0000BE010000}"/>
    <hyperlink ref="N151" r:id="rId448" xr:uid="{00000000-0004-0000-0000-0000BF010000}"/>
    <hyperlink ref="L152" r:id="rId449" xr:uid="{00000000-0004-0000-0000-0000C0010000}"/>
    <hyperlink ref="M152" r:id="rId450" xr:uid="{00000000-0004-0000-0000-0000C1010000}"/>
    <hyperlink ref="N152" r:id="rId451" xr:uid="{00000000-0004-0000-0000-0000C2010000}"/>
    <hyperlink ref="L153" r:id="rId452" xr:uid="{00000000-0004-0000-0000-0000C3010000}"/>
    <hyperlink ref="M153" r:id="rId453" xr:uid="{00000000-0004-0000-0000-0000C4010000}"/>
    <hyperlink ref="N153" r:id="rId454" xr:uid="{00000000-0004-0000-0000-0000C5010000}"/>
    <hyperlink ref="L154" r:id="rId455" xr:uid="{00000000-0004-0000-0000-0000C6010000}"/>
    <hyperlink ref="M154" r:id="rId456" location="demos" xr:uid="{00000000-0004-0000-0000-0000C7010000}"/>
    <hyperlink ref="N154" r:id="rId457" xr:uid="{00000000-0004-0000-0000-0000C8010000}"/>
    <hyperlink ref="L155" r:id="rId458" xr:uid="{00000000-0004-0000-0000-0000C9010000}"/>
    <hyperlink ref="M155" r:id="rId459" xr:uid="{00000000-0004-0000-0000-0000CA010000}"/>
    <hyperlink ref="N155" r:id="rId460" xr:uid="{00000000-0004-0000-0000-0000CB010000}"/>
    <hyperlink ref="L156" r:id="rId461" xr:uid="{00000000-0004-0000-0000-0000CC010000}"/>
    <hyperlink ref="M156" r:id="rId462" xr:uid="{00000000-0004-0000-0000-0000CD010000}"/>
    <hyperlink ref="N156" r:id="rId463" xr:uid="{00000000-0004-0000-0000-0000CE010000}"/>
    <hyperlink ref="L157" r:id="rId464" xr:uid="{00000000-0004-0000-0000-0000CF010000}"/>
    <hyperlink ref="M157" r:id="rId465" xr:uid="{00000000-0004-0000-0000-0000D0010000}"/>
    <hyperlink ref="N157" r:id="rId466" xr:uid="{00000000-0004-0000-0000-0000D1010000}"/>
    <hyperlink ref="L158" r:id="rId467" xr:uid="{00000000-0004-0000-0000-0000D2010000}"/>
    <hyperlink ref="M158" r:id="rId468" xr:uid="{00000000-0004-0000-0000-0000D3010000}"/>
    <hyperlink ref="N158" r:id="rId469" xr:uid="{00000000-0004-0000-0000-0000D4010000}"/>
    <hyperlink ref="L159" r:id="rId470" xr:uid="{00000000-0004-0000-0000-0000D5010000}"/>
    <hyperlink ref="M159" r:id="rId471" xr:uid="{00000000-0004-0000-0000-0000D6010000}"/>
    <hyperlink ref="N159" r:id="rId472" xr:uid="{00000000-0004-0000-0000-0000D7010000}"/>
    <hyperlink ref="L160" r:id="rId473" xr:uid="{00000000-0004-0000-0000-0000D8010000}"/>
    <hyperlink ref="M160" r:id="rId474" xr:uid="{00000000-0004-0000-0000-0000D9010000}"/>
    <hyperlink ref="N160" r:id="rId475" xr:uid="{00000000-0004-0000-0000-0000DA010000}"/>
    <hyperlink ref="L161" r:id="rId476" xr:uid="{00000000-0004-0000-0000-0000DB010000}"/>
    <hyperlink ref="M161" r:id="rId477" xr:uid="{00000000-0004-0000-0000-0000DC010000}"/>
    <hyperlink ref="N161" r:id="rId478" xr:uid="{00000000-0004-0000-0000-0000DD010000}"/>
    <hyperlink ref="L162" r:id="rId479" xr:uid="{00000000-0004-0000-0000-0000DE010000}"/>
    <hyperlink ref="M162" r:id="rId480" xr:uid="{00000000-0004-0000-0000-0000DF010000}"/>
    <hyperlink ref="N162" r:id="rId481" xr:uid="{00000000-0004-0000-0000-0000E0010000}"/>
    <hyperlink ref="L163" r:id="rId482" xr:uid="{00000000-0004-0000-0000-0000E1010000}"/>
    <hyperlink ref="M163" r:id="rId483" xr:uid="{00000000-0004-0000-0000-0000E2010000}"/>
    <hyperlink ref="N163" r:id="rId484" xr:uid="{00000000-0004-0000-0000-0000E3010000}"/>
    <hyperlink ref="L164" r:id="rId485" xr:uid="{00000000-0004-0000-0000-0000E4010000}"/>
    <hyperlink ref="M164" r:id="rId486" xr:uid="{00000000-0004-0000-0000-0000E5010000}"/>
    <hyperlink ref="N164" r:id="rId487" xr:uid="{00000000-0004-0000-0000-0000E6010000}"/>
    <hyperlink ref="L165" r:id="rId488" xr:uid="{00000000-0004-0000-0000-0000E7010000}"/>
    <hyperlink ref="M165" r:id="rId489" xr:uid="{00000000-0004-0000-0000-0000E8010000}"/>
    <hyperlink ref="N165" r:id="rId490" xr:uid="{00000000-0004-0000-0000-0000E9010000}"/>
    <hyperlink ref="L166" r:id="rId491" xr:uid="{00000000-0004-0000-0000-0000EA010000}"/>
    <hyperlink ref="M166" r:id="rId492" xr:uid="{00000000-0004-0000-0000-0000EB010000}"/>
    <hyperlink ref="N166" r:id="rId493" xr:uid="{00000000-0004-0000-0000-0000EC010000}"/>
    <hyperlink ref="L167" r:id="rId494" xr:uid="{00000000-0004-0000-0000-0000ED010000}"/>
    <hyperlink ref="M167" r:id="rId495" xr:uid="{00000000-0004-0000-0000-0000EE010000}"/>
    <hyperlink ref="N167" r:id="rId496" xr:uid="{00000000-0004-0000-0000-0000EF010000}"/>
    <hyperlink ref="L168" r:id="rId497" xr:uid="{00000000-0004-0000-0000-0000F0010000}"/>
    <hyperlink ref="M168" r:id="rId498" xr:uid="{00000000-0004-0000-0000-0000F1010000}"/>
    <hyperlink ref="N168" r:id="rId499" xr:uid="{00000000-0004-0000-0000-0000F2010000}"/>
    <hyperlink ref="L169" r:id="rId500" xr:uid="{00000000-0004-0000-0000-0000F3010000}"/>
    <hyperlink ref="M169" r:id="rId501" xr:uid="{00000000-0004-0000-0000-0000F4010000}"/>
    <hyperlink ref="N169" r:id="rId502" xr:uid="{00000000-0004-0000-0000-0000F5010000}"/>
    <hyperlink ref="L170" r:id="rId503" xr:uid="{00000000-0004-0000-0000-0000F6010000}"/>
    <hyperlink ref="M170" r:id="rId504" xr:uid="{00000000-0004-0000-0000-0000F7010000}"/>
    <hyperlink ref="N170" r:id="rId505" xr:uid="{00000000-0004-0000-0000-0000F8010000}"/>
    <hyperlink ref="L171" r:id="rId506" xr:uid="{00000000-0004-0000-0000-0000F9010000}"/>
    <hyperlink ref="M171" r:id="rId507" xr:uid="{00000000-0004-0000-0000-0000FA010000}"/>
    <hyperlink ref="N171" r:id="rId508" xr:uid="{00000000-0004-0000-0000-0000FB010000}"/>
    <hyperlink ref="L172" r:id="rId509" xr:uid="{00000000-0004-0000-0000-0000FC010000}"/>
    <hyperlink ref="M172" r:id="rId510" xr:uid="{00000000-0004-0000-0000-0000FD010000}"/>
    <hyperlink ref="N172" r:id="rId511" xr:uid="{00000000-0004-0000-0000-0000FE010000}"/>
    <hyperlink ref="L173" r:id="rId512" xr:uid="{00000000-0004-0000-0000-0000FF010000}"/>
    <hyperlink ref="M173" r:id="rId513" xr:uid="{00000000-0004-0000-0000-000000020000}"/>
    <hyperlink ref="N173" r:id="rId514" xr:uid="{00000000-0004-0000-0000-000001020000}"/>
    <hyperlink ref="L174" r:id="rId515" xr:uid="{00000000-0004-0000-0000-000002020000}"/>
    <hyperlink ref="M174" r:id="rId516" xr:uid="{00000000-0004-0000-0000-000003020000}"/>
    <hyperlink ref="N174" r:id="rId517" xr:uid="{00000000-0004-0000-0000-000004020000}"/>
    <hyperlink ref="L175" r:id="rId518" xr:uid="{00000000-0004-0000-0000-000005020000}"/>
    <hyperlink ref="M175" r:id="rId519" xr:uid="{00000000-0004-0000-0000-000006020000}"/>
    <hyperlink ref="N175" r:id="rId520" xr:uid="{00000000-0004-0000-0000-000007020000}"/>
    <hyperlink ref="L176" r:id="rId521" xr:uid="{00000000-0004-0000-0000-000008020000}"/>
    <hyperlink ref="M176" r:id="rId522" xr:uid="{00000000-0004-0000-0000-000009020000}"/>
    <hyperlink ref="N176" r:id="rId523" xr:uid="{00000000-0004-0000-0000-00000A020000}"/>
    <hyperlink ref="L177" r:id="rId524" xr:uid="{00000000-0004-0000-0000-00000B020000}"/>
    <hyperlink ref="M177" r:id="rId525" xr:uid="{00000000-0004-0000-0000-00000C020000}"/>
    <hyperlink ref="N177" r:id="rId526" xr:uid="{00000000-0004-0000-0000-00000D020000}"/>
    <hyperlink ref="L178" r:id="rId527" xr:uid="{00000000-0004-0000-0000-00000E020000}"/>
    <hyperlink ref="M178" r:id="rId528" xr:uid="{00000000-0004-0000-0000-00000F020000}"/>
    <hyperlink ref="N178" r:id="rId529" xr:uid="{00000000-0004-0000-0000-000010020000}"/>
    <hyperlink ref="L179" r:id="rId530" xr:uid="{00000000-0004-0000-0000-000011020000}"/>
    <hyperlink ref="M179" r:id="rId531" xr:uid="{00000000-0004-0000-0000-000012020000}"/>
    <hyperlink ref="N179" r:id="rId532" xr:uid="{00000000-0004-0000-0000-000013020000}"/>
    <hyperlink ref="L180" r:id="rId533" xr:uid="{00000000-0004-0000-0000-000014020000}"/>
    <hyperlink ref="M180" r:id="rId534" xr:uid="{00000000-0004-0000-0000-000015020000}"/>
    <hyperlink ref="N180" r:id="rId535" xr:uid="{00000000-0004-0000-0000-000016020000}"/>
    <hyperlink ref="L181" r:id="rId536" xr:uid="{00000000-0004-0000-0000-000017020000}"/>
    <hyperlink ref="M181" r:id="rId537" xr:uid="{00000000-0004-0000-0000-000018020000}"/>
    <hyperlink ref="N181" r:id="rId538" xr:uid="{00000000-0004-0000-0000-000019020000}"/>
    <hyperlink ref="L182" r:id="rId539" xr:uid="{00000000-0004-0000-0000-00001A020000}"/>
    <hyperlink ref="M182" r:id="rId540" xr:uid="{00000000-0004-0000-0000-00001B020000}"/>
    <hyperlink ref="N182" r:id="rId541" xr:uid="{00000000-0004-0000-0000-00001C020000}"/>
    <hyperlink ref="L183" r:id="rId542" xr:uid="{00000000-0004-0000-0000-00001D020000}"/>
    <hyperlink ref="M183" r:id="rId543" xr:uid="{00000000-0004-0000-0000-00001E020000}"/>
    <hyperlink ref="N183" r:id="rId544" xr:uid="{00000000-0004-0000-0000-00001F020000}"/>
    <hyperlink ref="L184" r:id="rId545" xr:uid="{00000000-0004-0000-0000-000020020000}"/>
    <hyperlink ref="M184" r:id="rId546" xr:uid="{00000000-0004-0000-0000-000021020000}"/>
    <hyperlink ref="N184" r:id="rId547" xr:uid="{00000000-0004-0000-0000-000022020000}"/>
    <hyperlink ref="L185" r:id="rId548" xr:uid="{00000000-0004-0000-0000-000023020000}"/>
    <hyperlink ref="M185" r:id="rId549" xr:uid="{00000000-0004-0000-0000-000024020000}"/>
    <hyperlink ref="N185" r:id="rId550" xr:uid="{00000000-0004-0000-0000-000025020000}"/>
    <hyperlink ref="L186" r:id="rId551" xr:uid="{00000000-0004-0000-0000-000026020000}"/>
    <hyperlink ref="M186" r:id="rId552" xr:uid="{00000000-0004-0000-0000-000027020000}"/>
    <hyperlink ref="N186" r:id="rId553" xr:uid="{00000000-0004-0000-0000-000028020000}"/>
    <hyperlink ref="L187" r:id="rId554" xr:uid="{00000000-0004-0000-0000-000029020000}"/>
    <hyperlink ref="M187" r:id="rId555" xr:uid="{00000000-0004-0000-0000-00002A020000}"/>
    <hyperlink ref="N187" r:id="rId556" xr:uid="{00000000-0004-0000-0000-00002B020000}"/>
    <hyperlink ref="L188" r:id="rId557" xr:uid="{00000000-0004-0000-0000-00002C020000}"/>
    <hyperlink ref="M188" r:id="rId558" xr:uid="{00000000-0004-0000-0000-00002D020000}"/>
    <hyperlink ref="N188" r:id="rId559" xr:uid="{00000000-0004-0000-0000-00002E020000}"/>
    <hyperlink ref="L189" r:id="rId560" xr:uid="{00000000-0004-0000-0000-00002F020000}"/>
    <hyperlink ref="M189" r:id="rId561" xr:uid="{00000000-0004-0000-0000-000030020000}"/>
    <hyperlink ref="N189" r:id="rId562" xr:uid="{00000000-0004-0000-0000-000031020000}"/>
    <hyperlink ref="L190" r:id="rId563" xr:uid="{00000000-0004-0000-0000-000032020000}"/>
    <hyperlink ref="M190" r:id="rId564" xr:uid="{00000000-0004-0000-0000-000033020000}"/>
    <hyperlink ref="N190" r:id="rId565" xr:uid="{00000000-0004-0000-0000-000034020000}"/>
    <hyperlink ref="L191" r:id="rId566" xr:uid="{00000000-0004-0000-0000-000035020000}"/>
    <hyperlink ref="M191" r:id="rId567" xr:uid="{00000000-0004-0000-0000-000036020000}"/>
    <hyperlink ref="N191" r:id="rId568" xr:uid="{00000000-0004-0000-0000-000037020000}"/>
    <hyperlink ref="L192" r:id="rId569" xr:uid="{00000000-0004-0000-0000-000038020000}"/>
    <hyperlink ref="M192" r:id="rId570" xr:uid="{00000000-0004-0000-0000-000039020000}"/>
    <hyperlink ref="N192" r:id="rId571" xr:uid="{00000000-0004-0000-0000-00003A020000}"/>
    <hyperlink ref="L193" r:id="rId572" xr:uid="{00000000-0004-0000-0000-00003B020000}"/>
    <hyperlink ref="M193" r:id="rId573" xr:uid="{00000000-0004-0000-0000-00003C020000}"/>
    <hyperlink ref="N193" r:id="rId574" xr:uid="{00000000-0004-0000-0000-00003D020000}"/>
    <hyperlink ref="L194" r:id="rId575" xr:uid="{00000000-0004-0000-0000-00003E020000}"/>
    <hyperlink ref="M194" r:id="rId576" xr:uid="{00000000-0004-0000-0000-00003F020000}"/>
    <hyperlink ref="N194" r:id="rId577" xr:uid="{00000000-0004-0000-0000-000040020000}"/>
    <hyperlink ref="L195" r:id="rId578" xr:uid="{00000000-0004-0000-0000-000041020000}"/>
    <hyperlink ref="M195" r:id="rId579" xr:uid="{00000000-0004-0000-0000-000042020000}"/>
    <hyperlink ref="N195" r:id="rId580" xr:uid="{00000000-0004-0000-0000-000043020000}"/>
    <hyperlink ref="L196" r:id="rId581" xr:uid="{00000000-0004-0000-0000-000044020000}"/>
    <hyperlink ref="M196" r:id="rId582" xr:uid="{00000000-0004-0000-0000-000045020000}"/>
    <hyperlink ref="N196" r:id="rId583" xr:uid="{00000000-0004-0000-0000-000046020000}"/>
    <hyperlink ref="L197" r:id="rId584" xr:uid="{00000000-0004-0000-0000-000047020000}"/>
    <hyperlink ref="M197" r:id="rId585" xr:uid="{00000000-0004-0000-0000-000048020000}"/>
    <hyperlink ref="N197" r:id="rId586" xr:uid="{00000000-0004-0000-0000-000049020000}"/>
    <hyperlink ref="L198" r:id="rId587" xr:uid="{00000000-0004-0000-0000-00004A020000}"/>
    <hyperlink ref="M198" r:id="rId588" xr:uid="{00000000-0004-0000-0000-00004B020000}"/>
    <hyperlink ref="N198" r:id="rId589" xr:uid="{00000000-0004-0000-0000-00004C020000}"/>
    <hyperlink ref="L199" r:id="rId590" xr:uid="{00000000-0004-0000-0000-00004D020000}"/>
    <hyperlink ref="M199" r:id="rId591" xr:uid="{00000000-0004-0000-0000-00004E020000}"/>
    <hyperlink ref="N199" r:id="rId592" xr:uid="{00000000-0004-0000-0000-00004F020000}"/>
    <hyperlink ref="L200" r:id="rId593" xr:uid="{00000000-0004-0000-0000-000050020000}"/>
    <hyperlink ref="M200" r:id="rId594" xr:uid="{00000000-0004-0000-0000-000051020000}"/>
    <hyperlink ref="N200" r:id="rId595" xr:uid="{00000000-0004-0000-0000-000052020000}"/>
    <hyperlink ref="L201" r:id="rId596" xr:uid="{00000000-0004-0000-0000-000053020000}"/>
    <hyperlink ref="M201" r:id="rId597" xr:uid="{00000000-0004-0000-0000-000054020000}"/>
    <hyperlink ref="N201" r:id="rId598" xr:uid="{00000000-0004-0000-0000-000055020000}"/>
    <hyperlink ref="L202" r:id="rId599" xr:uid="{00000000-0004-0000-0000-000056020000}"/>
    <hyperlink ref="M202" r:id="rId600" xr:uid="{00000000-0004-0000-0000-000057020000}"/>
    <hyperlink ref="N202" r:id="rId601" xr:uid="{00000000-0004-0000-0000-000058020000}"/>
    <hyperlink ref="L203" r:id="rId602" xr:uid="{00000000-0004-0000-0000-000059020000}"/>
    <hyperlink ref="M203" r:id="rId603" xr:uid="{00000000-0004-0000-0000-00005A020000}"/>
    <hyperlink ref="N203" r:id="rId604" xr:uid="{00000000-0004-0000-0000-00005B020000}"/>
    <hyperlink ref="L204" r:id="rId605" xr:uid="{00000000-0004-0000-0000-00005C020000}"/>
    <hyperlink ref="M204" r:id="rId606" xr:uid="{00000000-0004-0000-0000-00005D020000}"/>
    <hyperlink ref="N204" r:id="rId607" xr:uid="{00000000-0004-0000-0000-00005E020000}"/>
    <hyperlink ref="L205" r:id="rId608" xr:uid="{00000000-0004-0000-0000-00005F020000}"/>
    <hyperlink ref="M205" r:id="rId609" xr:uid="{00000000-0004-0000-0000-000060020000}"/>
    <hyperlink ref="N205" r:id="rId610" xr:uid="{00000000-0004-0000-0000-000061020000}"/>
    <hyperlink ref="L206" r:id="rId611" xr:uid="{00000000-0004-0000-0000-000062020000}"/>
    <hyperlink ref="M206" r:id="rId612" xr:uid="{00000000-0004-0000-0000-000063020000}"/>
    <hyperlink ref="N206" r:id="rId613" xr:uid="{00000000-0004-0000-0000-000064020000}"/>
    <hyperlink ref="L207" r:id="rId614" xr:uid="{00000000-0004-0000-0000-000065020000}"/>
    <hyperlink ref="M207" r:id="rId615" xr:uid="{00000000-0004-0000-0000-000066020000}"/>
    <hyperlink ref="N207" r:id="rId616" xr:uid="{00000000-0004-0000-0000-000067020000}"/>
    <hyperlink ref="L208" r:id="rId617" xr:uid="{00000000-0004-0000-0000-000068020000}"/>
    <hyperlink ref="M208" r:id="rId618" xr:uid="{00000000-0004-0000-0000-000069020000}"/>
    <hyperlink ref="N208" r:id="rId619" xr:uid="{00000000-0004-0000-0000-00006A020000}"/>
    <hyperlink ref="L209" r:id="rId620" xr:uid="{00000000-0004-0000-0000-00006B020000}"/>
    <hyperlink ref="M209" r:id="rId621" xr:uid="{00000000-0004-0000-0000-00006C020000}"/>
    <hyperlink ref="N209" r:id="rId622" xr:uid="{00000000-0004-0000-0000-00006D020000}"/>
    <hyperlink ref="L210" r:id="rId623" xr:uid="{00000000-0004-0000-0000-00006E020000}"/>
    <hyperlink ref="M210" r:id="rId624" xr:uid="{00000000-0004-0000-0000-00006F020000}"/>
    <hyperlink ref="N210" r:id="rId625" xr:uid="{00000000-0004-0000-0000-000070020000}"/>
    <hyperlink ref="L211" r:id="rId626" xr:uid="{00000000-0004-0000-0000-000071020000}"/>
    <hyperlink ref="M211" r:id="rId627" xr:uid="{00000000-0004-0000-0000-000072020000}"/>
    <hyperlink ref="N211" r:id="rId628" xr:uid="{00000000-0004-0000-0000-000073020000}"/>
    <hyperlink ref="L212" r:id="rId629" xr:uid="{00000000-0004-0000-0000-000074020000}"/>
    <hyperlink ref="M212" r:id="rId630" xr:uid="{00000000-0004-0000-0000-000075020000}"/>
    <hyperlink ref="N212" r:id="rId631" xr:uid="{00000000-0004-0000-0000-000076020000}"/>
    <hyperlink ref="L213" r:id="rId632" xr:uid="{00000000-0004-0000-0000-000077020000}"/>
    <hyperlink ref="M213" r:id="rId633" xr:uid="{00000000-0004-0000-0000-000078020000}"/>
    <hyperlink ref="N213" r:id="rId634" xr:uid="{00000000-0004-0000-0000-000079020000}"/>
    <hyperlink ref="L214" r:id="rId635" xr:uid="{00000000-0004-0000-0000-00007A020000}"/>
    <hyperlink ref="M214" r:id="rId636" xr:uid="{00000000-0004-0000-0000-00007B020000}"/>
    <hyperlink ref="N214" r:id="rId637" xr:uid="{00000000-0004-0000-0000-00007C020000}"/>
    <hyperlink ref="L215" r:id="rId638" xr:uid="{00000000-0004-0000-0000-00007D020000}"/>
    <hyperlink ref="M215" r:id="rId639" xr:uid="{00000000-0004-0000-0000-00007E020000}"/>
    <hyperlink ref="N215" r:id="rId640" xr:uid="{00000000-0004-0000-0000-00007F020000}"/>
    <hyperlink ref="L216" r:id="rId641" xr:uid="{00000000-0004-0000-0000-000080020000}"/>
    <hyperlink ref="M216" r:id="rId642" xr:uid="{00000000-0004-0000-0000-000081020000}"/>
    <hyperlink ref="N216" r:id="rId643" xr:uid="{00000000-0004-0000-0000-000082020000}"/>
    <hyperlink ref="L217" r:id="rId644" xr:uid="{00000000-0004-0000-0000-000083020000}"/>
    <hyperlink ref="M217" r:id="rId645" xr:uid="{00000000-0004-0000-0000-000084020000}"/>
    <hyperlink ref="N217" r:id="rId646" xr:uid="{00000000-0004-0000-0000-000085020000}"/>
    <hyperlink ref="L218" r:id="rId647" xr:uid="{00000000-0004-0000-0000-000086020000}"/>
    <hyperlink ref="M218" r:id="rId648" xr:uid="{00000000-0004-0000-0000-000087020000}"/>
    <hyperlink ref="N218" r:id="rId649" xr:uid="{00000000-0004-0000-0000-000088020000}"/>
    <hyperlink ref="L219" r:id="rId650" xr:uid="{00000000-0004-0000-0000-000089020000}"/>
    <hyperlink ref="M219" r:id="rId651" xr:uid="{00000000-0004-0000-0000-00008A020000}"/>
    <hyperlink ref="N219" r:id="rId652" xr:uid="{00000000-0004-0000-0000-00008B020000}"/>
    <hyperlink ref="L220" r:id="rId653" xr:uid="{00000000-0004-0000-0000-00008C020000}"/>
    <hyperlink ref="M220" r:id="rId654" xr:uid="{00000000-0004-0000-0000-00008D020000}"/>
    <hyperlink ref="N220" r:id="rId655" xr:uid="{00000000-0004-0000-0000-00008E020000}"/>
    <hyperlink ref="L221" r:id="rId656" xr:uid="{00000000-0004-0000-0000-00008F020000}"/>
    <hyperlink ref="M221" r:id="rId657" xr:uid="{00000000-0004-0000-0000-000090020000}"/>
    <hyperlink ref="N221" r:id="rId658" xr:uid="{00000000-0004-0000-0000-000091020000}"/>
    <hyperlink ref="L222" r:id="rId659" xr:uid="{00000000-0004-0000-0000-000092020000}"/>
    <hyperlink ref="M222" r:id="rId660" xr:uid="{00000000-0004-0000-0000-000093020000}"/>
    <hyperlink ref="N222" r:id="rId661" xr:uid="{00000000-0004-0000-0000-000094020000}"/>
    <hyperlink ref="L223" r:id="rId662" xr:uid="{00000000-0004-0000-0000-000095020000}"/>
    <hyperlink ref="M223" r:id="rId663" xr:uid="{00000000-0004-0000-0000-000096020000}"/>
    <hyperlink ref="N223" r:id="rId664" xr:uid="{00000000-0004-0000-0000-000097020000}"/>
    <hyperlink ref="L224" r:id="rId665" xr:uid="{00000000-0004-0000-0000-000098020000}"/>
    <hyperlink ref="M224" r:id="rId666" xr:uid="{00000000-0004-0000-0000-000099020000}"/>
    <hyperlink ref="N224" r:id="rId667" xr:uid="{00000000-0004-0000-0000-00009A020000}"/>
    <hyperlink ref="L225" r:id="rId668" xr:uid="{00000000-0004-0000-0000-00009B020000}"/>
    <hyperlink ref="M225" r:id="rId669" xr:uid="{00000000-0004-0000-0000-00009C020000}"/>
    <hyperlink ref="N225" r:id="rId670" xr:uid="{00000000-0004-0000-0000-00009D020000}"/>
    <hyperlink ref="L226" r:id="rId671" xr:uid="{00000000-0004-0000-0000-00009E020000}"/>
    <hyperlink ref="M226" r:id="rId672" xr:uid="{00000000-0004-0000-0000-00009F020000}"/>
    <hyperlink ref="N226" r:id="rId673" xr:uid="{00000000-0004-0000-0000-0000A0020000}"/>
    <hyperlink ref="L227" r:id="rId674" xr:uid="{00000000-0004-0000-0000-0000A1020000}"/>
    <hyperlink ref="M227" r:id="rId675" xr:uid="{00000000-0004-0000-0000-0000A2020000}"/>
    <hyperlink ref="N227" r:id="rId676" xr:uid="{00000000-0004-0000-0000-0000A3020000}"/>
    <hyperlink ref="L228" r:id="rId677" xr:uid="{00000000-0004-0000-0000-0000A4020000}"/>
    <hyperlink ref="N228" r:id="rId678" xr:uid="{00000000-0004-0000-0000-0000A5020000}"/>
    <hyperlink ref="L229" r:id="rId679" xr:uid="{00000000-0004-0000-0000-0000A6020000}"/>
    <hyperlink ref="M229" r:id="rId680" xr:uid="{00000000-0004-0000-0000-0000A7020000}"/>
    <hyperlink ref="N229" r:id="rId681" xr:uid="{00000000-0004-0000-0000-0000A8020000}"/>
    <hyperlink ref="L230" r:id="rId682" xr:uid="{00000000-0004-0000-0000-0000A9020000}"/>
    <hyperlink ref="M230" r:id="rId683" xr:uid="{00000000-0004-0000-0000-0000AA020000}"/>
    <hyperlink ref="N230" r:id="rId684" xr:uid="{00000000-0004-0000-0000-0000AB020000}"/>
    <hyperlink ref="L231" r:id="rId685" xr:uid="{00000000-0004-0000-0000-0000AC020000}"/>
    <hyperlink ref="M231" r:id="rId686" xr:uid="{00000000-0004-0000-0000-0000AD020000}"/>
    <hyperlink ref="N231" r:id="rId687" xr:uid="{00000000-0004-0000-0000-0000AE020000}"/>
    <hyperlink ref="L232" r:id="rId688" xr:uid="{00000000-0004-0000-0000-0000AF020000}"/>
    <hyperlink ref="M232" r:id="rId689" xr:uid="{00000000-0004-0000-0000-0000B0020000}"/>
    <hyperlink ref="N232" r:id="rId690" xr:uid="{00000000-0004-0000-0000-0000B1020000}"/>
    <hyperlink ref="L233" r:id="rId691" xr:uid="{00000000-0004-0000-0000-0000B2020000}"/>
    <hyperlink ref="M233" r:id="rId692" xr:uid="{00000000-0004-0000-0000-0000B3020000}"/>
    <hyperlink ref="N233" r:id="rId693" xr:uid="{00000000-0004-0000-0000-0000B4020000}"/>
    <hyperlink ref="L234" r:id="rId694" xr:uid="{00000000-0004-0000-0000-0000B5020000}"/>
    <hyperlink ref="N234" r:id="rId695" xr:uid="{00000000-0004-0000-0000-0000B6020000}"/>
    <hyperlink ref="L235" r:id="rId696" xr:uid="{00000000-0004-0000-0000-0000B7020000}"/>
    <hyperlink ref="M235" r:id="rId697" xr:uid="{00000000-0004-0000-0000-0000B8020000}"/>
    <hyperlink ref="N235" r:id="rId698" xr:uid="{00000000-0004-0000-0000-0000B9020000}"/>
    <hyperlink ref="L236" r:id="rId699" xr:uid="{00000000-0004-0000-0000-0000BA020000}"/>
    <hyperlink ref="M236" r:id="rId700" xr:uid="{00000000-0004-0000-0000-0000BB020000}"/>
    <hyperlink ref="N236" r:id="rId701" xr:uid="{00000000-0004-0000-0000-0000BC020000}"/>
    <hyperlink ref="L237" r:id="rId702" xr:uid="{00000000-0004-0000-0000-0000BD020000}"/>
    <hyperlink ref="M237" r:id="rId703" xr:uid="{00000000-0004-0000-0000-0000BE020000}"/>
    <hyperlink ref="N237" r:id="rId704" xr:uid="{00000000-0004-0000-0000-0000BF020000}"/>
    <hyperlink ref="L238" r:id="rId705" xr:uid="{00000000-0004-0000-0000-0000C0020000}"/>
    <hyperlink ref="M238" r:id="rId706" xr:uid="{00000000-0004-0000-0000-0000C1020000}"/>
    <hyperlink ref="N238" r:id="rId707" xr:uid="{00000000-0004-0000-0000-0000C2020000}"/>
    <hyperlink ref="L239" r:id="rId708" xr:uid="{00000000-0004-0000-0000-0000C3020000}"/>
    <hyperlink ref="M239" r:id="rId709" xr:uid="{00000000-0004-0000-0000-0000C4020000}"/>
    <hyperlink ref="N239" r:id="rId710" xr:uid="{00000000-0004-0000-0000-0000C5020000}"/>
    <hyperlink ref="L240" r:id="rId711" xr:uid="{00000000-0004-0000-0000-0000C6020000}"/>
    <hyperlink ref="M240" r:id="rId712" xr:uid="{00000000-0004-0000-0000-0000C7020000}"/>
    <hyperlink ref="N240" r:id="rId713" xr:uid="{00000000-0004-0000-0000-0000C8020000}"/>
    <hyperlink ref="L241" r:id="rId714" xr:uid="{00000000-0004-0000-0000-0000C9020000}"/>
    <hyperlink ref="M241" r:id="rId715" xr:uid="{00000000-0004-0000-0000-0000CA020000}"/>
    <hyperlink ref="N241" r:id="rId716" xr:uid="{00000000-0004-0000-0000-0000CB020000}"/>
    <hyperlink ref="L242" r:id="rId717" xr:uid="{00000000-0004-0000-0000-0000CC020000}"/>
    <hyperlink ref="M242" r:id="rId718" xr:uid="{00000000-0004-0000-0000-0000CD020000}"/>
    <hyperlink ref="N242" r:id="rId719" xr:uid="{00000000-0004-0000-0000-0000CE020000}"/>
    <hyperlink ref="L243" r:id="rId720" xr:uid="{00000000-0004-0000-0000-0000CF020000}"/>
    <hyperlink ref="M243" r:id="rId721" xr:uid="{00000000-0004-0000-0000-0000D0020000}"/>
    <hyperlink ref="N243" r:id="rId722" xr:uid="{00000000-0004-0000-0000-0000D1020000}"/>
    <hyperlink ref="L244" r:id="rId723" xr:uid="{00000000-0004-0000-0000-0000D2020000}"/>
    <hyperlink ref="M244" r:id="rId724" xr:uid="{00000000-0004-0000-0000-0000D3020000}"/>
    <hyperlink ref="N244" r:id="rId725" xr:uid="{00000000-0004-0000-0000-0000D4020000}"/>
    <hyperlink ref="L245" r:id="rId726" xr:uid="{00000000-0004-0000-0000-0000D5020000}"/>
    <hyperlink ref="M245" r:id="rId727" xr:uid="{00000000-0004-0000-0000-0000D6020000}"/>
    <hyperlink ref="N245" r:id="rId728" xr:uid="{00000000-0004-0000-0000-0000D7020000}"/>
    <hyperlink ref="L246" r:id="rId729" xr:uid="{00000000-0004-0000-0000-0000D8020000}"/>
    <hyperlink ref="M246" r:id="rId730" xr:uid="{00000000-0004-0000-0000-0000D9020000}"/>
    <hyperlink ref="N246" r:id="rId731" xr:uid="{00000000-0004-0000-0000-0000DA020000}"/>
    <hyperlink ref="L247" r:id="rId732" xr:uid="{00000000-0004-0000-0000-0000DB020000}"/>
    <hyperlink ref="M247" r:id="rId733" xr:uid="{00000000-0004-0000-0000-0000DC020000}"/>
    <hyperlink ref="N247" r:id="rId734" xr:uid="{00000000-0004-0000-0000-0000DD020000}"/>
    <hyperlink ref="L248" r:id="rId735" xr:uid="{00000000-0004-0000-0000-0000DE020000}"/>
    <hyperlink ref="M248" r:id="rId736" xr:uid="{00000000-0004-0000-0000-0000DF020000}"/>
    <hyperlink ref="N248" r:id="rId737" xr:uid="{00000000-0004-0000-0000-0000E0020000}"/>
    <hyperlink ref="L249" r:id="rId738" xr:uid="{00000000-0004-0000-0000-0000E1020000}"/>
    <hyperlink ref="M249" r:id="rId739" xr:uid="{00000000-0004-0000-0000-0000E2020000}"/>
    <hyperlink ref="N249" r:id="rId740" xr:uid="{00000000-0004-0000-0000-0000E3020000}"/>
    <hyperlink ref="L250" r:id="rId741" xr:uid="{00000000-0004-0000-0000-0000E4020000}"/>
    <hyperlink ref="M250" r:id="rId742" xr:uid="{00000000-0004-0000-0000-0000E5020000}"/>
    <hyperlink ref="N250" r:id="rId743" xr:uid="{00000000-0004-0000-0000-0000E6020000}"/>
    <hyperlink ref="L251" r:id="rId744" xr:uid="{00000000-0004-0000-0000-0000E7020000}"/>
    <hyperlink ref="N251" r:id="rId745" xr:uid="{00000000-0004-0000-0000-0000E8020000}"/>
    <hyperlink ref="L252" r:id="rId746" xr:uid="{00000000-0004-0000-0000-0000E9020000}"/>
    <hyperlink ref="M252" r:id="rId747" xr:uid="{00000000-0004-0000-0000-0000EA020000}"/>
    <hyperlink ref="N252" r:id="rId748" xr:uid="{00000000-0004-0000-0000-0000EB020000}"/>
    <hyperlink ref="L253" r:id="rId749" xr:uid="{00000000-0004-0000-0000-0000EC020000}"/>
    <hyperlink ref="M253" r:id="rId750" xr:uid="{00000000-0004-0000-0000-0000ED020000}"/>
    <hyperlink ref="N253" r:id="rId751" xr:uid="{00000000-0004-0000-0000-0000EE020000}"/>
    <hyperlink ref="L254" r:id="rId752" xr:uid="{00000000-0004-0000-0000-0000EF020000}"/>
    <hyperlink ref="M254" r:id="rId753" xr:uid="{00000000-0004-0000-0000-0000F0020000}"/>
    <hyperlink ref="N254" r:id="rId754" xr:uid="{00000000-0004-0000-0000-0000F1020000}"/>
    <hyperlink ref="L255" r:id="rId755" xr:uid="{00000000-0004-0000-0000-0000F2020000}"/>
    <hyperlink ref="M255" r:id="rId756" xr:uid="{00000000-0004-0000-0000-0000F3020000}"/>
    <hyperlink ref="N255" r:id="rId757" xr:uid="{00000000-0004-0000-0000-0000F4020000}"/>
    <hyperlink ref="L256" r:id="rId758" xr:uid="{00000000-0004-0000-0000-0000F5020000}"/>
    <hyperlink ref="M256" r:id="rId759" xr:uid="{00000000-0004-0000-0000-0000F6020000}"/>
    <hyperlink ref="N256" r:id="rId760" xr:uid="{00000000-0004-0000-0000-0000F7020000}"/>
    <hyperlink ref="L257" r:id="rId761" xr:uid="{00000000-0004-0000-0000-0000F8020000}"/>
    <hyperlink ref="M257" r:id="rId762" xr:uid="{00000000-0004-0000-0000-0000F9020000}"/>
    <hyperlink ref="N257" r:id="rId763" xr:uid="{00000000-0004-0000-0000-0000FA020000}"/>
    <hyperlink ref="L258" r:id="rId764" xr:uid="{00000000-0004-0000-0000-0000FB020000}"/>
    <hyperlink ref="M258" r:id="rId765" xr:uid="{00000000-0004-0000-0000-0000FC020000}"/>
    <hyperlink ref="N258" r:id="rId766" xr:uid="{00000000-0004-0000-0000-0000FD020000}"/>
    <hyperlink ref="L259" r:id="rId767" xr:uid="{00000000-0004-0000-0000-0000FE020000}"/>
    <hyperlink ref="N259" r:id="rId768" xr:uid="{00000000-0004-0000-0000-0000FF020000}"/>
    <hyperlink ref="L260" r:id="rId769" xr:uid="{00000000-0004-0000-0000-000000030000}"/>
    <hyperlink ref="M260" r:id="rId770" xr:uid="{00000000-0004-0000-0000-000001030000}"/>
    <hyperlink ref="N260" r:id="rId771" xr:uid="{00000000-0004-0000-0000-000002030000}"/>
    <hyperlink ref="L261" r:id="rId772" xr:uid="{00000000-0004-0000-0000-000003030000}"/>
    <hyperlink ref="M261" r:id="rId773" xr:uid="{00000000-0004-0000-0000-000004030000}"/>
    <hyperlink ref="N261" r:id="rId774" xr:uid="{00000000-0004-0000-0000-000005030000}"/>
    <hyperlink ref="L262" r:id="rId775" xr:uid="{00000000-0004-0000-0000-000006030000}"/>
    <hyperlink ref="M262" r:id="rId776" xr:uid="{00000000-0004-0000-0000-000007030000}"/>
    <hyperlink ref="N262" r:id="rId777" xr:uid="{00000000-0004-0000-0000-000008030000}"/>
    <hyperlink ref="L263" r:id="rId778" xr:uid="{00000000-0004-0000-0000-000009030000}"/>
    <hyperlink ref="M263" r:id="rId779" xr:uid="{00000000-0004-0000-0000-00000A030000}"/>
    <hyperlink ref="N263" r:id="rId780" xr:uid="{00000000-0004-0000-0000-00000B030000}"/>
    <hyperlink ref="L264" r:id="rId781" xr:uid="{00000000-0004-0000-0000-00000C030000}"/>
    <hyperlink ref="M264" r:id="rId782" xr:uid="{00000000-0004-0000-0000-00000D030000}"/>
    <hyperlink ref="N264" r:id="rId783" xr:uid="{00000000-0004-0000-0000-00000E030000}"/>
    <hyperlink ref="L265" r:id="rId784" xr:uid="{00000000-0004-0000-0000-00000F030000}"/>
    <hyperlink ref="M265" r:id="rId785" xr:uid="{00000000-0004-0000-0000-000010030000}"/>
    <hyperlink ref="N265" r:id="rId786" xr:uid="{00000000-0004-0000-0000-000011030000}"/>
    <hyperlink ref="L266" r:id="rId787" xr:uid="{00000000-0004-0000-0000-000012030000}"/>
    <hyperlink ref="M266" r:id="rId788" xr:uid="{00000000-0004-0000-0000-000013030000}"/>
    <hyperlink ref="N266" r:id="rId789" xr:uid="{00000000-0004-0000-0000-000014030000}"/>
    <hyperlink ref="L267" r:id="rId790" xr:uid="{00000000-0004-0000-0000-000015030000}"/>
    <hyperlink ref="M267" r:id="rId791" xr:uid="{00000000-0004-0000-0000-000016030000}"/>
    <hyperlink ref="N267" r:id="rId792" xr:uid="{00000000-0004-0000-0000-000017030000}"/>
    <hyperlink ref="L268" r:id="rId793" xr:uid="{00000000-0004-0000-0000-000018030000}"/>
    <hyperlink ref="M268" r:id="rId794" location="demo" xr:uid="{00000000-0004-0000-0000-000019030000}"/>
    <hyperlink ref="N268" r:id="rId795" xr:uid="{00000000-0004-0000-0000-00001A030000}"/>
    <hyperlink ref="L269" r:id="rId796" xr:uid="{00000000-0004-0000-0000-00001B030000}"/>
    <hyperlink ref="M269" r:id="rId797" xr:uid="{00000000-0004-0000-0000-00001C030000}"/>
    <hyperlink ref="N269" r:id="rId798" xr:uid="{00000000-0004-0000-0000-00001D030000}"/>
    <hyperlink ref="L270" r:id="rId799" xr:uid="{00000000-0004-0000-0000-00001E030000}"/>
    <hyperlink ref="M270" r:id="rId800" xr:uid="{00000000-0004-0000-0000-00001F030000}"/>
    <hyperlink ref="N270" r:id="rId801" xr:uid="{00000000-0004-0000-0000-000020030000}"/>
    <hyperlink ref="L271" r:id="rId802" xr:uid="{00000000-0004-0000-0000-000021030000}"/>
    <hyperlink ref="M271" r:id="rId803" xr:uid="{00000000-0004-0000-0000-000022030000}"/>
    <hyperlink ref="L272" r:id="rId804" xr:uid="{00000000-0004-0000-0000-000023030000}"/>
    <hyperlink ref="M272" r:id="rId805" xr:uid="{00000000-0004-0000-0000-000024030000}"/>
    <hyperlink ref="N272" r:id="rId806" xr:uid="{00000000-0004-0000-0000-000025030000}"/>
    <hyperlink ref="L273" r:id="rId807" xr:uid="{00000000-0004-0000-0000-000026030000}"/>
    <hyperlink ref="M273" r:id="rId808" xr:uid="{00000000-0004-0000-0000-000027030000}"/>
    <hyperlink ref="N273" r:id="rId809" xr:uid="{00000000-0004-0000-0000-000028030000}"/>
    <hyperlink ref="L274" r:id="rId810" xr:uid="{00000000-0004-0000-0000-000029030000}"/>
    <hyperlink ref="M274" r:id="rId811" xr:uid="{00000000-0004-0000-0000-00002A030000}"/>
    <hyperlink ref="N274" r:id="rId812" xr:uid="{00000000-0004-0000-0000-00002B030000}"/>
    <hyperlink ref="L275" r:id="rId813" xr:uid="{00000000-0004-0000-0000-00002C030000}"/>
    <hyperlink ref="M275" r:id="rId814" xr:uid="{00000000-0004-0000-0000-00002D030000}"/>
    <hyperlink ref="N275" r:id="rId815" xr:uid="{00000000-0004-0000-0000-00002E030000}"/>
    <hyperlink ref="L276" r:id="rId816" xr:uid="{00000000-0004-0000-0000-00002F030000}"/>
    <hyperlink ref="M276" r:id="rId817" xr:uid="{00000000-0004-0000-0000-000030030000}"/>
    <hyperlink ref="N276" r:id="rId818" xr:uid="{00000000-0004-0000-0000-000031030000}"/>
    <hyperlink ref="L277" r:id="rId819" xr:uid="{00000000-0004-0000-0000-000032030000}"/>
    <hyperlink ref="M277" r:id="rId820" xr:uid="{00000000-0004-0000-0000-000033030000}"/>
    <hyperlink ref="N277" r:id="rId821" xr:uid="{00000000-0004-0000-0000-000034030000}"/>
    <hyperlink ref="L278" r:id="rId822" xr:uid="{00000000-0004-0000-0000-000035030000}"/>
    <hyperlink ref="M278" r:id="rId823" xr:uid="{00000000-0004-0000-0000-000036030000}"/>
    <hyperlink ref="N278" r:id="rId824" xr:uid="{00000000-0004-0000-0000-000037030000}"/>
    <hyperlink ref="L279" r:id="rId825" xr:uid="{00000000-0004-0000-0000-000038030000}"/>
    <hyperlink ref="M279" r:id="rId826" xr:uid="{00000000-0004-0000-0000-000039030000}"/>
    <hyperlink ref="N279" r:id="rId827" xr:uid="{00000000-0004-0000-0000-00003A030000}"/>
    <hyperlink ref="L280" r:id="rId828" xr:uid="{00000000-0004-0000-0000-00003B030000}"/>
    <hyperlink ref="M280" r:id="rId829" xr:uid="{00000000-0004-0000-0000-00003C030000}"/>
    <hyperlink ref="N280" r:id="rId830" xr:uid="{00000000-0004-0000-0000-00003D030000}"/>
    <hyperlink ref="L281" r:id="rId831" xr:uid="{00000000-0004-0000-0000-00003E030000}"/>
    <hyperlink ref="M281" r:id="rId832" xr:uid="{00000000-0004-0000-0000-00003F030000}"/>
    <hyperlink ref="N281" r:id="rId833" xr:uid="{00000000-0004-0000-0000-000040030000}"/>
    <hyperlink ref="L282" r:id="rId834" xr:uid="{00000000-0004-0000-0000-000041030000}"/>
    <hyperlink ref="M282" r:id="rId835" xr:uid="{00000000-0004-0000-0000-000042030000}"/>
    <hyperlink ref="N282" r:id="rId836" xr:uid="{00000000-0004-0000-0000-000043030000}"/>
    <hyperlink ref="L283" r:id="rId837" xr:uid="{00000000-0004-0000-0000-000044030000}"/>
    <hyperlink ref="M283" r:id="rId838" xr:uid="{00000000-0004-0000-0000-000045030000}"/>
    <hyperlink ref="N283" r:id="rId839" xr:uid="{00000000-0004-0000-0000-000046030000}"/>
    <hyperlink ref="L284" r:id="rId840" xr:uid="{00000000-0004-0000-0000-000047030000}"/>
    <hyperlink ref="M284" r:id="rId841" xr:uid="{00000000-0004-0000-0000-000048030000}"/>
    <hyperlink ref="N284" r:id="rId842" xr:uid="{00000000-0004-0000-0000-000049030000}"/>
    <hyperlink ref="L285" r:id="rId843" xr:uid="{00000000-0004-0000-0000-00004A030000}"/>
    <hyperlink ref="M285" r:id="rId844" xr:uid="{00000000-0004-0000-0000-00004B030000}"/>
    <hyperlink ref="N285" r:id="rId845" xr:uid="{00000000-0004-0000-0000-00004C030000}"/>
    <hyperlink ref="L286" r:id="rId846" xr:uid="{00000000-0004-0000-0000-00004D030000}"/>
    <hyperlink ref="M286" r:id="rId847" xr:uid="{00000000-0004-0000-0000-00004E030000}"/>
    <hyperlink ref="N286" r:id="rId848" xr:uid="{00000000-0004-0000-0000-00004F030000}"/>
    <hyperlink ref="L287" r:id="rId849" xr:uid="{00000000-0004-0000-0000-000050030000}"/>
    <hyperlink ref="M287" r:id="rId850" xr:uid="{00000000-0004-0000-0000-000051030000}"/>
    <hyperlink ref="N287" r:id="rId851" xr:uid="{00000000-0004-0000-0000-000052030000}"/>
    <hyperlink ref="L288" r:id="rId852" xr:uid="{00000000-0004-0000-0000-000053030000}"/>
    <hyperlink ref="M288" r:id="rId853" xr:uid="{00000000-0004-0000-0000-000054030000}"/>
    <hyperlink ref="N288" r:id="rId854" xr:uid="{00000000-0004-0000-0000-000055030000}"/>
    <hyperlink ref="L289" r:id="rId855" xr:uid="{00000000-0004-0000-0000-000056030000}"/>
    <hyperlink ref="M289" r:id="rId856" xr:uid="{00000000-0004-0000-0000-000057030000}"/>
    <hyperlink ref="N289" r:id="rId857" xr:uid="{00000000-0004-0000-0000-000058030000}"/>
    <hyperlink ref="L290" r:id="rId858" xr:uid="{00000000-0004-0000-0000-000059030000}"/>
    <hyperlink ref="M290" r:id="rId859" xr:uid="{00000000-0004-0000-0000-00005A030000}"/>
    <hyperlink ref="N290" r:id="rId860" xr:uid="{00000000-0004-0000-0000-00005B030000}"/>
    <hyperlink ref="L291" r:id="rId861" xr:uid="{00000000-0004-0000-0000-00005C030000}"/>
    <hyperlink ref="M291" r:id="rId862" xr:uid="{00000000-0004-0000-0000-00005D030000}"/>
    <hyperlink ref="L292" r:id="rId863" xr:uid="{00000000-0004-0000-0000-00005E030000}"/>
    <hyperlink ref="M292" r:id="rId864" xr:uid="{00000000-0004-0000-0000-00005F030000}"/>
    <hyperlink ref="N292" r:id="rId865" xr:uid="{00000000-0004-0000-0000-000060030000}"/>
    <hyperlink ref="L293" r:id="rId866" xr:uid="{00000000-0004-0000-0000-000061030000}"/>
    <hyperlink ref="M293" r:id="rId867" xr:uid="{00000000-0004-0000-0000-000062030000}"/>
    <hyperlink ref="N293" r:id="rId868" xr:uid="{00000000-0004-0000-0000-000063030000}"/>
    <hyperlink ref="L294" r:id="rId869" xr:uid="{00000000-0004-0000-0000-000064030000}"/>
    <hyperlink ref="M294" r:id="rId870" xr:uid="{00000000-0004-0000-0000-000065030000}"/>
    <hyperlink ref="N294" r:id="rId871" xr:uid="{00000000-0004-0000-0000-000066030000}"/>
    <hyperlink ref="L295" r:id="rId872" xr:uid="{00000000-0004-0000-0000-000067030000}"/>
    <hyperlink ref="M295" r:id="rId873" xr:uid="{00000000-0004-0000-0000-000068030000}"/>
    <hyperlink ref="N295" r:id="rId874" xr:uid="{00000000-0004-0000-0000-000069030000}"/>
    <hyperlink ref="L296" r:id="rId875" xr:uid="{00000000-0004-0000-0000-00006A030000}"/>
    <hyperlink ref="M296" r:id="rId876" xr:uid="{00000000-0004-0000-0000-00006B030000}"/>
    <hyperlink ref="N296" r:id="rId877" xr:uid="{00000000-0004-0000-0000-00006C030000}"/>
    <hyperlink ref="L297" r:id="rId878" xr:uid="{00000000-0004-0000-0000-00006D030000}"/>
    <hyperlink ref="M297" r:id="rId879" xr:uid="{00000000-0004-0000-0000-00006E030000}"/>
    <hyperlink ref="N297" r:id="rId880" xr:uid="{00000000-0004-0000-0000-00006F030000}"/>
    <hyperlink ref="L298" r:id="rId881" xr:uid="{00000000-0004-0000-0000-000070030000}"/>
    <hyperlink ref="M298" r:id="rId882" xr:uid="{00000000-0004-0000-0000-000071030000}"/>
    <hyperlink ref="N298" r:id="rId883" xr:uid="{00000000-0004-0000-0000-000072030000}"/>
    <hyperlink ref="L299" r:id="rId884" xr:uid="{00000000-0004-0000-0000-000073030000}"/>
    <hyperlink ref="M299" r:id="rId885" xr:uid="{00000000-0004-0000-0000-000074030000}"/>
    <hyperlink ref="N299" r:id="rId886" xr:uid="{00000000-0004-0000-0000-000075030000}"/>
    <hyperlink ref="L300" r:id="rId887" xr:uid="{00000000-0004-0000-0000-000076030000}"/>
    <hyperlink ref="M300" r:id="rId888" xr:uid="{00000000-0004-0000-0000-000077030000}"/>
    <hyperlink ref="N300" r:id="rId889" xr:uid="{00000000-0004-0000-0000-000078030000}"/>
    <hyperlink ref="L301" r:id="rId890" xr:uid="{00000000-0004-0000-0000-000079030000}"/>
    <hyperlink ref="M301" r:id="rId891" xr:uid="{00000000-0004-0000-0000-00007A030000}"/>
    <hyperlink ref="N301" r:id="rId892" xr:uid="{00000000-0004-0000-0000-00007B030000}"/>
    <hyperlink ref="L302" r:id="rId893" xr:uid="{00000000-0004-0000-0000-00007C030000}"/>
    <hyperlink ref="M302" r:id="rId894" xr:uid="{00000000-0004-0000-0000-00007D030000}"/>
    <hyperlink ref="N302" r:id="rId895" xr:uid="{00000000-0004-0000-0000-00007E030000}"/>
    <hyperlink ref="L303" r:id="rId896" xr:uid="{00000000-0004-0000-0000-00007F030000}"/>
    <hyperlink ref="M303" r:id="rId897" xr:uid="{00000000-0004-0000-0000-000080030000}"/>
    <hyperlink ref="N303" r:id="rId898" xr:uid="{00000000-0004-0000-0000-000081030000}"/>
    <hyperlink ref="L304" r:id="rId899" xr:uid="{00000000-0004-0000-0000-000082030000}"/>
    <hyperlink ref="M304" r:id="rId900" xr:uid="{00000000-0004-0000-0000-000083030000}"/>
    <hyperlink ref="N304" r:id="rId901" xr:uid="{00000000-0004-0000-0000-000084030000}"/>
    <hyperlink ref="L305" r:id="rId902" xr:uid="{00000000-0004-0000-0000-000085030000}"/>
    <hyperlink ref="M305" r:id="rId903" xr:uid="{00000000-0004-0000-0000-000086030000}"/>
    <hyperlink ref="N305" r:id="rId904" xr:uid="{00000000-0004-0000-0000-000087030000}"/>
    <hyperlink ref="L306" r:id="rId905" xr:uid="{00000000-0004-0000-0000-000088030000}"/>
    <hyperlink ref="M306" r:id="rId906" xr:uid="{00000000-0004-0000-0000-000089030000}"/>
    <hyperlink ref="N306" r:id="rId907" xr:uid="{00000000-0004-0000-0000-00008A030000}"/>
    <hyperlink ref="L307" r:id="rId908" xr:uid="{00000000-0004-0000-0000-00008B030000}"/>
    <hyperlink ref="M307" r:id="rId909" xr:uid="{00000000-0004-0000-0000-00008C030000}"/>
    <hyperlink ref="N307" r:id="rId910" xr:uid="{00000000-0004-0000-0000-00008D030000}"/>
    <hyperlink ref="L308" r:id="rId911" xr:uid="{00000000-0004-0000-0000-00008E030000}"/>
    <hyperlink ref="M308" r:id="rId912" xr:uid="{00000000-0004-0000-0000-00008F030000}"/>
    <hyperlink ref="N308" r:id="rId913" xr:uid="{00000000-0004-0000-0000-000090030000}"/>
    <hyperlink ref="L309" r:id="rId914" xr:uid="{00000000-0004-0000-0000-000091030000}"/>
    <hyperlink ref="M309" r:id="rId915" xr:uid="{00000000-0004-0000-0000-000092030000}"/>
    <hyperlink ref="N309" r:id="rId916" xr:uid="{00000000-0004-0000-0000-000093030000}"/>
    <hyperlink ref="L310" r:id="rId917" xr:uid="{00000000-0004-0000-0000-000094030000}"/>
    <hyperlink ref="M310" r:id="rId918" xr:uid="{00000000-0004-0000-0000-000095030000}"/>
    <hyperlink ref="N310" r:id="rId919" xr:uid="{00000000-0004-0000-0000-000096030000}"/>
    <hyperlink ref="L311" r:id="rId920" xr:uid="{00000000-0004-0000-0000-000097030000}"/>
    <hyperlink ref="M311" r:id="rId921" xr:uid="{00000000-0004-0000-0000-000098030000}"/>
    <hyperlink ref="N311" r:id="rId922" xr:uid="{00000000-0004-0000-0000-000099030000}"/>
    <hyperlink ref="L312" r:id="rId923" xr:uid="{00000000-0004-0000-0000-00009A030000}"/>
    <hyperlink ref="M312" r:id="rId924" xr:uid="{00000000-0004-0000-0000-00009B030000}"/>
    <hyperlink ref="N312" r:id="rId925" xr:uid="{00000000-0004-0000-0000-00009C030000}"/>
    <hyperlink ref="L313" r:id="rId926" xr:uid="{00000000-0004-0000-0000-00009D030000}"/>
    <hyperlink ref="M313" r:id="rId927" xr:uid="{00000000-0004-0000-0000-00009E030000}"/>
    <hyperlink ref="N313" r:id="rId928" xr:uid="{00000000-0004-0000-0000-00009F030000}"/>
    <hyperlink ref="L314" r:id="rId929" xr:uid="{00000000-0004-0000-0000-0000A0030000}"/>
    <hyperlink ref="M314" r:id="rId930" xr:uid="{00000000-0004-0000-0000-0000A1030000}"/>
    <hyperlink ref="N314" r:id="rId931" xr:uid="{00000000-0004-0000-0000-0000A2030000}"/>
    <hyperlink ref="L315" r:id="rId932" xr:uid="{00000000-0004-0000-0000-0000A3030000}"/>
    <hyperlink ref="M315" r:id="rId933" xr:uid="{00000000-0004-0000-0000-0000A4030000}"/>
    <hyperlink ref="N315" r:id="rId934" xr:uid="{00000000-0004-0000-0000-0000A5030000}"/>
    <hyperlink ref="L316" r:id="rId935" xr:uid="{00000000-0004-0000-0000-0000A6030000}"/>
    <hyperlink ref="M316" r:id="rId936" xr:uid="{00000000-0004-0000-0000-0000A7030000}"/>
    <hyperlink ref="N316" r:id="rId937" xr:uid="{00000000-0004-0000-0000-0000A8030000}"/>
    <hyperlink ref="L317" r:id="rId938" xr:uid="{00000000-0004-0000-0000-0000A9030000}"/>
    <hyperlink ref="M317" r:id="rId939" xr:uid="{00000000-0004-0000-0000-0000AA030000}"/>
    <hyperlink ref="N317" r:id="rId940" xr:uid="{00000000-0004-0000-0000-0000AB030000}"/>
    <hyperlink ref="L318" r:id="rId941" xr:uid="{00000000-0004-0000-0000-0000AC030000}"/>
    <hyperlink ref="M318" r:id="rId942" xr:uid="{00000000-0004-0000-0000-0000AD030000}"/>
    <hyperlink ref="N318" r:id="rId943" xr:uid="{00000000-0004-0000-0000-0000AE030000}"/>
    <hyperlink ref="L319" r:id="rId944" xr:uid="{00000000-0004-0000-0000-0000AF030000}"/>
    <hyperlink ref="M319" r:id="rId945" xr:uid="{00000000-0004-0000-0000-0000B0030000}"/>
    <hyperlink ref="N319" r:id="rId946" xr:uid="{00000000-0004-0000-0000-0000B1030000}"/>
    <hyperlink ref="L320" r:id="rId947" xr:uid="{00000000-0004-0000-0000-0000B2030000}"/>
    <hyperlink ref="M320" r:id="rId948" xr:uid="{00000000-0004-0000-0000-0000B3030000}"/>
    <hyperlink ref="N320" r:id="rId949" xr:uid="{00000000-0004-0000-0000-0000B4030000}"/>
    <hyperlink ref="L321" r:id="rId950" xr:uid="{00000000-0004-0000-0000-0000B5030000}"/>
    <hyperlink ref="M321" r:id="rId951" xr:uid="{00000000-0004-0000-0000-0000B6030000}"/>
    <hyperlink ref="N321" r:id="rId952" xr:uid="{00000000-0004-0000-0000-0000B7030000}"/>
    <hyperlink ref="L322" r:id="rId953" xr:uid="{00000000-0004-0000-0000-0000B8030000}"/>
    <hyperlink ref="M322" r:id="rId954" xr:uid="{00000000-0004-0000-0000-0000B9030000}"/>
    <hyperlink ref="N322" r:id="rId955" xr:uid="{00000000-0004-0000-0000-0000BA030000}"/>
    <hyperlink ref="L323" r:id="rId956" xr:uid="{00000000-0004-0000-0000-0000BB030000}"/>
    <hyperlink ref="M323" r:id="rId957" xr:uid="{00000000-0004-0000-0000-0000BC030000}"/>
    <hyperlink ref="N323" r:id="rId958" xr:uid="{00000000-0004-0000-0000-0000BD030000}"/>
    <hyperlink ref="L324" r:id="rId959" xr:uid="{00000000-0004-0000-0000-0000BE030000}"/>
    <hyperlink ref="M324" r:id="rId960" xr:uid="{00000000-0004-0000-0000-0000BF030000}"/>
    <hyperlink ref="N324" r:id="rId961" xr:uid="{00000000-0004-0000-0000-0000C0030000}"/>
    <hyperlink ref="L325" r:id="rId962" xr:uid="{00000000-0004-0000-0000-0000C1030000}"/>
    <hyperlink ref="M325" r:id="rId963" xr:uid="{00000000-0004-0000-0000-0000C2030000}"/>
    <hyperlink ref="N325" r:id="rId964" xr:uid="{00000000-0004-0000-0000-0000C3030000}"/>
    <hyperlink ref="L326" r:id="rId965" xr:uid="{00000000-0004-0000-0000-0000C4030000}"/>
    <hyperlink ref="M326" r:id="rId966" xr:uid="{00000000-0004-0000-0000-0000C5030000}"/>
    <hyperlink ref="N326" r:id="rId967" xr:uid="{00000000-0004-0000-0000-0000C6030000}"/>
    <hyperlink ref="L327" r:id="rId968" xr:uid="{00000000-0004-0000-0000-0000C7030000}"/>
    <hyperlink ref="M327" r:id="rId969" xr:uid="{00000000-0004-0000-0000-0000C8030000}"/>
    <hyperlink ref="N327" r:id="rId970" xr:uid="{00000000-0004-0000-0000-0000C9030000}"/>
    <hyperlink ref="L328" r:id="rId971" xr:uid="{00000000-0004-0000-0000-0000CA030000}"/>
    <hyperlink ref="M328" r:id="rId972" xr:uid="{00000000-0004-0000-0000-0000CB030000}"/>
    <hyperlink ref="N328" r:id="rId973" xr:uid="{00000000-0004-0000-0000-0000CC030000}"/>
    <hyperlink ref="L329" r:id="rId974" xr:uid="{00000000-0004-0000-0000-0000CD030000}"/>
    <hyperlink ref="M329" r:id="rId975" xr:uid="{00000000-0004-0000-0000-0000CE030000}"/>
    <hyperlink ref="N329" r:id="rId976" xr:uid="{00000000-0004-0000-0000-0000CF03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5.75"/>
  <cols>
    <col min="1" max="1" width="26" customWidth="1"/>
    <col min="2" max="2" width="10" customWidth="1"/>
    <col min="3" max="3" width="24" customWidth="1"/>
    <col min="4" max="5" width="12" customWidth="1"/>
  </cols>
  <sheetData>
    <row r="1" spans="1:5" ht="30" customHeight="1">
      <c r="A1" s="1" t="s">
        <v>1</v>
      </c>
      <c r="B1" s="1" t="s">
        <v>2077</v>
      </c>
      <c r="C1" s="1" t="s">
        <v>2078</v>
      </c>
      <c r="D1" s="1" t="s">
        <v>2079</v>
      </c>
      <c r="E1" s="1" t="s">
        <v>2080</v>
      </c>
    </row>
    <row r="2" spans="1:5">
      <c r="A2" s="8" t="s">
        <v>16</v>
      </c>
      <c r="B2" s="7">
        <f>COUNTIF(JS工具總表!$B$2:$B$329,A2)</f>
        <v>18</v>
      </c>
      <c r="C2" s="7">
        <f>COUNTIFS(JS工具總表!$B$2:$B$329,A2,JS工具總表!$G$2:$G$329,"★★★")</f>
        <v>17</v>
      </c>
      <c r="D2" s="7">
        <f>COUNTIFS(JS工具總表!$B$2:$B$329,A2,JS工具總表!$F$2:$F$329,"入門")</f>
        <v>10</v>
      </c>
      <c r="E2" s="12">
        <f t="shared" ref="E2:E29" si="0">IF(B2=0,0,C2/B2)</f>
        <v>0.94444444444444442</v>
      </c>
    </row>
    <row r="3" spans="1:5" ht="27">
      <c r="A3" s="8" t="s">
        <v>149</v>
      </c>
      <c r="B3" s="7">
        <f>COUNTIF(JS工具總表!$B$2:$B$329,A3)</f>
        <v>22</v>
      </c>
      <c r="C3" s="7">
        <f>COUNTIFS(JS工具總表!$B$2:$B$329,A3,JS工具總表!$G$2:$G$329,"★★★")</f>
        <v>12</v>
      </c>
      <c r="D3" s="7">
        <f>COUNTIFS(JS工具總表!$B$2:$B$329,A3,JS工具總表!$F$2:$F$329,"入門")</f>
        <v>3</v>
      </c>
      <c r="E3" s="12">
        <f t="shared" si="0"/>
        <v>0.54545454545454541</v>
      </c>
    </row>
    <row r="4" spans="1:5">
      <c r="A4" s="8" t="s">
        <v>294</v>
      </c>
      <c r="B4" s="7">
        <f>COUNTIF(JS工具總表!$B$2:$B$329,A4)</f>
        <v>7</v>
      </c>
      <c r="C4" s="7">
        <f>COUNTIFS(JS工具總表!$B$2:$B$329,A4,JS工具總表!$G$2:$G$329,"★★★")</f>
        <v>5</v>
      </c>
      <c r="D4" s="7">
        <f>COUNTIFS(JS工具總表!$B$2:$B$329,A4,JS工具總表!$F$2:$F$329,"入門")</f>
        <v>3</v>
      </c>
      <c r="E4" s="12">
        <f t="shared" si="0"/>
        <v>0.7142857142857143</v>
      </c>
    </row>
    <row r="5" spans="1:5">
      <c r="A5" s="8" t="s">
        <v>337</v>
      </c>
      <c r="B5" s="7">
        <f>COUNTIF(JS工具總表!$B$2:$B$329,A5)</f>
        <v>16</v>
      </c>
      <c r="C5" s="7">
        <f>COUNTIFS(JS工具總表!$B$2:$B$329,A5,JS工具總表!$G$2:$G$329,"★★★")</f>
        <v>14</v>
      </c>
      <c r="D5" s="7">
        <f>COUNTIFS(JS工具總表!$B$2:$B$329,A5,JS工具總表!$F$2:$F$329,"入門")</f>
        <v>9</v>
      </c>
      <c r="E5" s="12">
        <f t="shared" si="0"/>
        <v>0.875</v>
      </c>
    </row>
    <row r="6" spans="1:5">
      <c r="A6" s="8" t="s">
        <v>444</v>
      </c>
      <c r="B6" s="7">
        <f>COUNTIF(JS工具總表!$B$2:$B$329,A6)</f>
        <v>16</v>
      </c>
      <c r="C6" s="7">
        <f>COUNTIFS(JS工具總表!$B$2:$B$329,A6,JS工具總表!$G$2:$G$329,"★★★")</f>
        <v>13</v>
      </c>
      <c r="D6" s="7">
        <f>COUNTIFS(JS工具總表!$B$2:$B$329,A6,JS工具總表!$F$2:$F$329,"入門")</f>
        <v>11</v>
      </c>
      <c r="E6" s="12">
        <f t="shared" si="0"/>
        <v>0.8125</v>
      </c>
    </row>
    <row r="7" spans="1:5">
      <c r="A7" s="8" t="s">
        <v>544</v>
      </c>
      <c r="B7" s="7">
        <f>COUNTIF(JS工具總表!$B$2:$B$329,A7)</f>
        <v>11</v>
      </c>
      <c r="C7" s="7">
        <f>COUNTIFS(JS工具總表!$B$2:$B$329,A7,JS工具總表!$G$2:$G$329,"★★★")</f>
        <v>10</v>
      </c>
      <c r="D7" s="7">
        <f>COUNTIFS(JS工具總表!$B$2:$B$329,A7,JS工具總表!$F$2:$F$329,"入門")</f>
        <v>9</v>
      </c>
      <c r="E7" s="12">
        <f t="shared" si="0"/>
        <v>0.90909090909090906</v>
      </c>
    </row>
    <row r="8" spans="1:5">
      <c r="A8" s="8" t="s">
        <v>615</v>
      </c>
      <c r="B8" s="7">
        <f>COUNTIF(JS工具總表!$B$2:$B$329,A8)</f>
        <v>14</v>
      </c>
      <c r="C8" s="7">
        <f>COUNTIFS(JS工具總表!$B$2:$B$329,A8,JS工具總表!$G$2:$G$329,"★★★")</f>
        <v>13</v>
      </c>
      <c r="D8" s="7">
        <f>COUNTIFS(JS工具總表!$B$2:$B$329,A8,JS工具總表!$F$2:$F$329,"入門")</f>
        <v>13</v>
      </c>
      <c r="E8" s="12">
        <f t="shared" si="0"/>
        <v>0.9285714285714286</v>
      </c>
    </row>
    <row r="9" spans="1:5">
      <c r="A9" s="8" t="s">
        <v>702</v>
      </c>
      <c r="B9" s="7">
        <f>COUNTIF(JS工具總表!$B$2:$B$329,A9)</f>
        <v>8</v>
      </c>
      <c r="C9" s="7">
        <f>COUNTIFS(JS工具總表!$B$2:$B$329,A9,JS工具總表!$G$2:$G$329,"★★★")</f>
        <v>8</v>
      </c>
      <c r="D9" s="7">
        <f>COUNTIFS(JS工具總表!$B$2:$B$329,A9,JS工具總表!$F$2:$F$329,"入門")</f>
        <v>1</v>
      </c>
      <c r="E9" s="12">
        <f t="shared" si="0"/>
        <v>1</v>
      </c>
    </row>
    <row r="10" spans="1:5">
      <c r="A10" s="8" t="s">
        <v>750</v>
      </c>
      <c r="B10" s="7">
        <f>COUNTIF(JS工具總表!$B$2:$B$329,A10)</f>
        <v>14</v>
      </c>
      <c r="C10" s="7">
        <f>COUNTIFS(JS工具總表!$B$2:$B$329,A10,JS工具總表!$G$2:$G$329,"★★★")</f>
        <v>10</v>
      </c>
      <c r="D10" s="7">
        <f>COUNTIFS(JS工具總表!$B$2:$B$329,A10,JS工具總表!$F$2:$F$329,"入門")</f>
        <v>7</v>
      </c>
      <c r="E10" s="12">
        <f t="shared" si="0"/>
        <v>0.7142857142857143</v>
      </c>
    </row>
    <row r="11" spans="1:5">
      <c r="A11" s="8" t="s">
        <v>839</v>
      </c>
      <c r="B11" s="7">
        <f>COUNTIF(JS工具總表!$B$2:$B$329,A11)</f>
        <v>26</v>
      </c>
      <c r="C11" s="7">
        <f>COUNTIFS(JS工具總表!$B$2:$B$329,A11,JS工具總表!$G$2:$G$329,"★★★")</f>
        <v>20</v>
      </c>
      <c r="D11" s="7">
        <f>COUNTIFS(JS工具總表!$B$2:$B$329,A11,JS工具總表!$F$2:$F$329,"入門")</f>
        <v>21</v>
      </c>
      <c r="E11" s="12">
        <f t="shared" si="0"/>
        <v>0.76923076923076927</v>
      </c>
    </row>
    <row r="12" spans="1:5">
      <c r="A12" s="8" t="s">
        <v>1005</v>
      </c>
      <c r="B12" s="7">
        <f>COUNTIF(JS工具總表!$B$2:$B$329,A12)</f>
        <v>7</v>
      </c>
      <c r="C12" s="7">
        <f>COUNTIFS(JS工具總表!$B$2:$B$329,A12,JS工具總表!$G$2:$G$329,"★★★")</f>
        <v>6</v>
      </c>
      <c r="D12" s="7">
        <f>COUNTIFS(JS工具總表!$B$2:$B$329,A12,JS工具總表!$F$2:$F$329,"入門")</f>
        <v>4</v>
      </c>
      <c r="E12" s="12">
        <f t="shared" si="0"/>
        <v>0.8571428571428571</v>
      </c>
    </row>
    <row r="13" spans="1:5" ht="27">
      <c r="A13" s="8" t="s">
        <v>1045</v>
      </c>
      <c r="B13" s="7">
        <f>COUNTIF(JS工具總表!$B$2:$B$329,A13)</f>
        <v>17</v>
      </c>
      <c r="C13" s="7">
        <f>COUNTIFS(JS工具總表!$B$2:$B$329,A13,JS工具總表!$G$2:$G$329,"★★★")</f>
        <v>12</v>
      </c>
      <c r="D13" s="7">
        <f>COUNTIFS(JS工具總表!$B$2:$B$329,A13,JS工具總表!$F$2:$F$329,"入門")</f>
        <v>10</v>
      </c>
      <c r="E13" s="12">
        <f t="shared" si="0"/>
        <v>0.70588235294117652</v>
      </c>
    </row>
    <row r="14" spans="1:5">
      <c r="A14" s="8" t="s">
        <v>1151</v>
      </c>
      <c r="B14" s="7">
        <f>COUNTIF(JS工具總表!$B$2:$B$329,A14)</f>
        <v>11</v>
      </c>
      <c r="C14" s="7">
        <f>COUNTIFS(JS工具總表!$B$2:$B$329,A14,JS工具總表!$G$2:$G$329,"★★★")</f>
        <v>7</v>
      </c>
      <c r="D14" s="7">
        <f>COUNTIFS(JS工具總表!$B$2:$B$329,A14,JS工具總表!$F$2:$F$329,"入門")</f>
        <v>4</v>
      </c>
      <c r="E14" s="12">
        <f t="shared" si="0"/>
        <v>0.63636363636363635</v>
      </c>
    </row>
    <row r="15" spans="1:5">
      <c r="A15" s="8" t="s">
        <v>1223</v>
      </c>
      <c r="B15" s="7">
        <f>COUNTIF(JS工具總表!$B$2:$B$329,A15)</f>
        <v>16</v>
      </c>
      <c r="C15" s="7">
        <f>COUNTIFS(JS工具總表!$B$2:$B$329,A15,JS工具總表!$G$2:$G$329,"★★★")</f>
        <v>16</v>
      </c>
      <c r="D15" s="7">
        <f>COUNTIFS(JS工具總表!$B$2:$B$329,A15,JS工具總表!$F$2:$F$329,"入門")</f>
        <v>7</v>
      </c>
      <c r="E15" s="12">
        <f t="shared" si="0"/>
        <v>1</v>
      </c>
    </row>
    <row r="16" spans="1:5">
      <c r="A16" s="8" t="s">
        <v>1320</v>
      </c>
      <c r="B16" s="7">
        <f>COUNTIF(JS工具總表!$B$2:$B$329,A16)</f>
        <v>12</v>
      </c>
      <c r="C16" s="7">
        <f>COUNTIFS(JS工具總表!$B$2:$B$329,A16,JS工具總表!$G$2:$G$329,"★★★")</f>
        <v>9</v>
      </c>
      <c r="D16" s="7">
        <f>COUNTIFS(JS工具總表!$B$2:$B$329,A16,JS工具總表!$F$2:$F$329,"入門")</f>
        <v>5</v>
      </c>
      <c r="E16" s="12">
        <f t="shared" si="0"/>
        <v>0.75</v>
      </c>
    </row>
    <row r="17" spans="1:5">
      <c r="A17" s="8" t="s">
        <v>1396</v>
      </c>
      <c r="B17" s="7">
        <f>COUNTIF(JS工具總表!$B$2:$B$329,A17)</f>
        <v>6</v>
      </c>
      <c r="C17" s="7">
        <f>COUNTIFS(JS工具總表!$B$2:$B$329,A17,JS工具總表!$G$2:$G$329,"★★★")</f>
        <v>6</v>
      </c>
      <c r="D17" s="7">
        <f>COUNTIFS(JS工具總表!$B$2:$B$329,A17,JS工具總表!$F$2:$F$329,"入門")</f>
        <v>0</v>
      </c>
      <c r="E17" s="12">
        <f t="shared" si="0"/>
        <v>1</v>
      </c>
    </row>
    <row r="18" spans="1:5">
      <c r="A18" s="8" t="s">
        <v>1434</v>
      </c>
      <c r="B18" s="7">
        <f>COUNTIF(JS工具總表!$B$2:$B$329,A18)</f>
        <v>12</v>
      </c>
      <c r="C18" s="7">
        <f>COUNTIFS(JS工具總表!$B$2:$B$329,A18,JS工具總表!$G$2:$G$329,"★★★")</f>
        <v>9</v>
      </c>
      <c r="D18" s="7">
        <f>COUNTIFS(JS工具總表!$B$2:$B$329,A18,JS工具總表!$F$2:$F$329,"入門")</f>
        <v>5</v>
      </c>
      <c r="E18" s="12">
        <f t="shared" si="0"/>
        <v>0.75</v>
      </c>
    </row>
    <row r="19" spans="1:5">
      <c r="A19" s="8" t="s">
        <v>1501</v>
      </c>
      <c r="B19" s="7">
        <f>COUNTIF(JS工具總表!$B$2:$B$329,A19)</f>
        <v>12</v>
      </c>
      <c r="C19" s="7">
        <f>COUNTIFS(JS工具總表!$B$2:$B$329,A19,JS工具總表!$G$2:$G$329,"★★★")</f>
        <v>11</v>
      </c>
      <c r="D19" s="7">
        <f>COUNTIFS(JS工具總表!$B$2:$B$329,A19,JS工具總表!$F$2:$F$329,"入門")</f>
        <v>11</v>
      </c>
      <c r="E19" s="12">
        <f t="shared" si="0"/>
        <v>0.91666666666666663</v>
      </c>
    </row>
    <row r="20" spans="1:5">
      <c r="A20" s="8" t="s">
        <v>1577</v>
      </c>
      <c r="B20" s="7">
        <f>COUNTIF(JS工具總表!$B$2:$B$329,A20)</f>
        <v>13</v>
      </c>
      <c r="C20" s="7">
        <f>COUNTIFS(JS工具總表!$B$2:$B$329,A20,JS工具總表!$G$2:$G$329,"★★★")</f>
        <v>13</v>
      </c>
      <c r="D20" s="7">
        <f>COUNTIFS(JS工具總表!$B$2:$B$329,A20,JS工具總表!$F$2:$F$329,"入門")</f>
        <v>10</v>
      </c>
      <c r="E20" s="12">
        <f t="shared" si="0"/>
        <v>1</v>
      </c>
    </row>
    <row r="21" spans="1:5">
      <c r="A21" s="8" t="s">
        <v>1654</v>
      </c>
      <c r="B21" s="7">
        <f>COUNTIF(JS工具總表!$B$2:$B$329,A21)</f>
        <v>7</v>
      </c>
      <c r="C21" s="7">
        <f>COUNTIFS(JS工具總表!$B$2:$B$329,A21,JS工具總表!$G$2:$G$329,"★★★")</f>
        <v>4</v>
      </c>
      <c r="D21" s="7">
        <f>COUNTIFS(JS工具總表!$B$2:$B$329,A21,JS工具總表!$F$2:$F$329,"入門")</f>
        <v>5</v>
      </c>
      <c r="E21" s="12">
        <f t="shared" si="0"/>
        <v>0.5714285714285714</v>
      </c>
    </row>
    <row r="22" spans="1:5">
      <c r="A22" s="8" t="s">
        <v>1696</v>
      </c>
      <c r="B22" s="7">
        <f>COUNTIF(JS工具總表!$B$2:$B$329,A22)</f>
        <v>9</v>
      </c>
      <c r="C22" s="7">
        <f>COUNTIFS(JS工具總表!$B$2:$B$329,A22,JS工具總表!$G$2:$G$329,"★★★")</f>
        <v>6</v>
      </c>
      <c r="D22" s="7">
        <f>COUNTIFS(JS工具總表!$B$2:$B$329,A22,JS工具總表!$F$2:$F$329,"入門")</f>
        <v>7</v>
      </c>
      <c r="E22" s="12">
        <f t="shared" si="0"/>
        <v>0.66666666666666663</v>
      </c>
    </row>
    <row r="23" spans="1:5">
      <c r="A23" s="8" t="s">
        <v>1750</v>
      </c>
      <c r="B23" s="7">
        <f>COUNTIF(JS工具總表!$B$2:$B$329,A23)</f>
        <v>20</v>
      </c>
      <c r="C23" s="7">
        <f>COUNTIFS(JS工具總表!$B$2:$B$329,A23,JS工具總表!$G$2:$G$329,"★★★")</f>
        <v>16</v>
      </c>
      <c r="D23" s="7">
        <f>COUNTIFS(JS工具總表!$B$2:$B$329,A23,JS工具總表!$F$2:$F$329,"入門")</f>
        <v>13</v>
      </c>
      <c r="E23" s="12">
        <f t="shared" si="0"/>
        <v>0.8</v>
      </c>
    </row>
    <row r="24" spans="1:5">
      <c r="A24" s="8" t="s">
        <v>1871</v>
      </c>
      <c r="B24" s="7">
        <f>COUNTIF(JS工具總表!$B$2:$B$329,A24)</f>
        <v>9</v>
      </c>
      <c r="C24" s="7">
        <f>COUNTIFS(JS工具總表!$B$2:$B$329,A24,JS工具總表!$G$2:$G$329,"★★★")</f>
        <v>8</v>
      </c>
      <c r="D24" s="7">
        <f>COUNTIFS(JS工具總表!$B$2:$B$329,A24,JS工具總表!$F$2:$F$329,"入門")</f>
        <v>5</v>
      </c>
      <c r="E24" s="12">
        <f t="shared" si="0"/>
        <v>0.88888888888888884</v>
      </c>
    </row>
    <row r="25" spans="1:5">
      <c r="A25" s="8" t="s">
        <v>1927</v>
      </c>
      <c r="B25" s="7">
        <f>COUNTIF(JS工具總表!$B$2:$B$329,A25)</f>
        <v>5</v>
      </c>
      <c r="C25" s="7">
        <f>COUNTIFS(JS工具總表!$B$2:$B$329,A25,JS工具總表!$G$2:$G$329,"★★★")</f>
        <v>0</v>
      </c>
      <c r="D25" s="7">
        <f>COUNTIFS(JS工具總表!$B$2:$B$329,A25,JS工具總表!$F$2:$F$329,"入門")</f>
        <v>0</v>
      </c>
      <c r="E25" s="12">
        <f t="shared" si="0"/>
        <v>0</v>
      </c>
    </row>
    <row r="26" spans="1:5">
      <c r="A26" s="8" t="s">
        <v>1956</v>
      </c>
      <c r="B26" s="7">
        <f>COUNTIF(JS工具總表!$B$2:$B$329,A26)</f>
        <v>9</v>
      </c>
      <c r="C26" s="7">
        <f>COUNTIFS(JS工具總表!$B$2:$B$329,A26,JS工具總表!$G$2:$G$329,"★★★")</f>
        <v>8</v>
      </c>
      <c r="D26" s="7">
        <f>COUNTIFS(JS工具總表!$B$2:$B$329,A26,JS工具總表!$F$2:$F$329,"入門")</f>
        <v>6</v>
      </c>
      <c r="E26" s="12">
        <f t="shared" si="0"/>
        <v>0.88888888888888884</v>
      </c>
    </row>
    <row r="27" spans="1:5">
      <c r="A27" s="8" t="s">
        <v>2009</v>
      </c>
      <c r="B27" s="7">
        <f>COUNTIF(JS工具總表!$B$2:$B$329,A27)</f>
        <v>9</v>
      </c>
      <c r="C27" s="7">
        <f>COUNTIFS(JS工具總表!$B$2:$B$329,A27,JS工具總表!$G$2:$G$329,"★★★")</f>
        <v>6</v>
      </c>
      <c r="D27" s="7">
        <f>COUNTIFS(JS工具總表!$B$2:$B$329,A27,JS工具總表!$F$2:$F$329,"入門")</f>
        <v>4</v>
      </c>
      <c r="E27" s="12">
        <f t="shared" si="0"/>
        <v>0.66666666666666663</v>
      </c>
    </row>
    <row r="28" spans="1:5">
      <c r="A28" s="8" t="s">
        <v>2062</v>
      </c>
      <c r="B28" s="7">
        <f>COUNTIF(JS工具總表!$B$2:$B$329,A28)</f>
        <v>2</v>
      </c>
      <c r="C28" s="7">
        <f>COUNTIFS(JS工具總表!$B$2:$B$329,A28,JS工具總表!$G$2:$G$329,"★★★")</f>
        <v>1</v>
      </c>
      <c r="D28" s="7">
        <f>COUNTIFS(JS工具總表!$B$2:$B$329,A28,JS工具總表!$F$2:$F$329,"入門")</f>
        <v>1</v>
      </c>
      <c r="E28" s="12">
        <f t="shared" si="0"/>
        <v>0.5</v>
      </c>
    </row>
    <row r="29" spans="1:5">
      <c r="A29" s="9" t="s">
        <v>2081</v>
      </c>
      <c r="B29" s="13">
        <f>SUM(B2:B28)</f>
        <v>328</v>
      </c>
      <c r="C29" s="13">
        <f>SUM(C2:C28)</f>
        <v>260</v>
      </c>
      <c r="D29" s="13">
        <f>SUM(D2:D28)</f>
        <v>184</v>
      </c>
      <c r="E29" s="14">
        <f t="shared" si="0"/>
        <v>0.79268292682926833</v>
      </c>
    </row>
    <row r="30" spans="1:5">
      <c r="A30" s="8" t="s">
        <v>2082</v>
      </c>
      <c r="B30" s="7">
        <f>COUNTA(JS工具總表!$C$2:$C$329)</f>
        <v>328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75"/>
  <cols>
    <col min="1" max="1" width="6" customWidth="1"/>
    <col min="2" max="2" width="24" customWidth="1"/>
    <col min="3" max="3" width="46" customWidth="1"/>
    <col min="4" max="4" width="26" customWidth="1"/>
    <col min="5" max="5" width="44" customWidth="1"/>
    <col min="6" max="6" width="20" customWidth="1"/>
  </cols>
  <sheetData>
    <row r="1" spans="1:6" ht="30" customHeight="1">
      <c r="A1" s="1" t="s">
        <v>0</v>
      </c>
      <c r="B1" s="1" t="s">
        <v>2083</v>
      </c>
      <c r="C1" s="1" t="s">
        <v>2084</v>
      </c>
      <c r="D1" s="1" t="s">
        <v>2085</v>
      </c>
      <c r="E1" s="1" t="s">
        <v>2086</v>
      </c>
      <c r="F1" s="1" t="s">
        <v>14</v>
      </c>
    </row>
    <row r="2" spans="1:6">
      <c r="A2" s="7">
        <v>1</v>
      </c>
      <c r="B2" s="9" t="s">
        <v>2087</v>
      </c>
      <c r="C2" s="8" t="s">
        <v>2088</v>
      </c>
      <c r="D2" s="8" t="s">
        <v>2089</v>
      </c>
      <c r="E2" s="11" t="s">
        <v>2090</v>
      </c>
      <c r="F2" s="7" t="s">
        <v>27</v>
      </c>
    </row>
    <row r="3" spans="1:6" ht="27">
      <c r="A3" s="7">
        <v>2</v>
      </c>
      <c r="B3" s="9" t="s">
        <v>2091</v>
      </c>
      <c r="C3" s="8" t="s">
        <v>2092</v>
      </c>
      <c r="D3" s="8" t="s">
        <v>2093</v>
      </c>
      <c r="E3" s="11" t="s">
        <v>2094</v>
      </c>
      <c r="F3" s="7" t="s">
        <v>27</v>
      </c>
    </row>
    <row r="4" spans="1:6">
      <c r="A4" s="7">
        <v>3</v>
      </c>
      <c r="B4" s="9" t="s">
        <v>2095</v>
      </c>
      <c r="C4" s="8" t="s">
        <v>2096</v>
      </c>
      <c r="D4" s="8" t="s">
        <v>2097</v>
      </c>
      <c r="E4" s="11" t="s">
        <v>2098</v>
      </c>
      <c r="F4" s="7" t="s">
        <v>27</v>
      </c>
    </row>
    <row r="5" spans="1:6">
      <c r="A5" s="7">
        <v>4</v>
      </c>
      <c r="B5" s="9" t="s">
        <v>2099</v>
      </c>
      <c r="C5" s="8" t="s">
        <v>2100</v>
      </c>
      <c r="D5" s="8" t="s">
        <v>2101</v>
      </c>
      <c r="E5" s="11" t="s">
        <v>2102</v>
      </c>
      <c r="F5" s="7" t="s">
        <v>379</v>
      </c>
    </row>
    <row r="6" spans="1:6" ht="27">
      <c r="A6" s="7">
        <v>5</v>
      </c>
      <c r="B6" s="9" t="s">
        <v>2103</v>
      </c>
      <c r="C6" s="8" t="s">
        <v>2104</v>
      </c>
      <c r="D6" s="8" t="s">
        <v>2105</v>
      </c>
      <c r="E6" s="11" t="s">
        <v>2106</v>
      </c>
      <c r="F6" s="7" t="s">
        <v>2107</v>
      </c>
    </row>
    <row r="7" spans="1:6">
      <c r="A7" s="7">
        <v>6</v>
      </c>
      <c r="B7" s="9" t="s">
        <v>2108</v>
      </c>
      <c r="C7" s="8" t="s">
        <v>2109</v>
      </c>
      <c r="D7" s="8" t="s">
        <v>2110</v>
      </c>
      <c r="E7" s="11" t="s">
        <v>264</v>
      </c>
      <c r="F7" s="7" t="s">
        <v>27</v>
      </c>
    </row>
    <row r="8" spans="1:6">
      <c r="A8" s="7">
        <v>7</v>
      </c>
      <c r="B8" s="9" t="s">
        <v>2111</v>
      </c>
      <c r="C8" s="8" t="s">
        <v>2112</v>
      </c>
      <c r="D8" s="8" t="s">
        <v>2113</v>
      </c>
      <c r="E8" s="11" t="s">
        <v>2114</v>
      </c>
      <c r="F8" s="7" t="s">
        <v>27</v>
      </c>
    </row>
    <row r="9" spans="1:6">
      <c r="A9" s="7">
        <v>8</v>
      </c>
      <c r="B9" s="9" t="s">
        <v>2115</v>
      </c>
      <c r="C9" s="8" t="s">
        <v>2116</v>
      </c>
      <c r="D9" s="8" t="s">
        <v>150</v>
      </c>
      <c r="E9" s="11" t="s">
        <v>2117</v>
      </c>
      <c r="F9" s="7" t="s">
        <v>27</v>
      </c>
    </row>
    <row r="10" spans="1:6">
      <c r="A10" s="7">
        <v>9</v>
      </c>
      <c r="B10" s="9" t="s">
        <v>2118</v>
      </c>
      <c r="C10" s="8" t="s">
        <v>2119</v>
      </c>
      <c r="D10" s="8" t="s">
        <v>150</v>
      </c>
      <c r="E10" s="11" t="s">
        <v>2120</v>
      </c>
      <c r="F10" s="7" t="s">
        <v>27</v>
      </c>
    </row>
    <row r="11" spans="1:6">
      <c r="A11" s="7">
        <v>10</v>
      </c>
      <c r="B11" s="9" t="s">
        <v>2121</v>
      </c>
      <c r="C11" s="8" t="s">
        <v>2122</v>
      </c>
      <c r="D11" s="8" t="s">
        <v>2123</v>
      </c>
      <c r="E11" s="11" t="s">
        <v>2124</v>
      </c>
      <c r="F11" s="7" t="s">
        <v>27</v>
      </c>
    </row>
    <row r="12" spans="1:6">
      <c r="A12" s="7">
        <v>11</v>
      </c>
      <c r="B12" s="9" t="s">
        <v>2125</v>
      </c>
      <c r="C12" s="8" t="s">
        <v>2126</v>
      </c>
      <c r="D12" s="8" t="s">
        <v>2127</v>
      </c>
      <c r="E12" s="11" t="s">
        <v>2128</v>
      </c>
      <c r="F12" s="7" t="s">
        <v>27</v>
      </c>
    </row>
    <row r="13" spans="1:6">
      <c r="A13" s="7">
        <v>12</v>
      </c>
      <c r="B13" s="9" t="s">
        <v>2129</v>
      </c>
      <c r="C13" s="8" t="s">
        <v>2130</v>
      </c>
      <c r="D13" s="8" t="s">
        <v>2131</v>
      </c>
      <c r="E13" s="11" t="s">
        <v>2132</v>
      </c>
      <c r="F13" s="7" t="s">
        <v>27</v>
      </c>
    </row>
    <row r="14" spans="1:6">
      <c r="A14" s="7">
        <v>13</v>
      </c>
      <c r="B14" s="9" t="s">
        <v>2133</v>
      </c>
      <c r="C14" s="8" t="s">
        <v>2134</v>
      </c>
      <c r="D14" s="8" t="s">
        <v>2135</v>
      </c>
      <c r="E14" s="11" t="s">
        <v>2136</v>
      </c>
      <c r="F14" s="7" t="s">
        <v>27</v>
      </c>
    </row>
    <row r="15" spans="1:6">
      <c r="A15" s="7">
        <v>14</v>
      </c>
      <c r="B15" s="9" t="s">
        <v>2137</v>
      </c>
      <c r="C15" s="8" t="s">
        <v>2138</v>
      </c>
      <c r="D15" s="8" t="s">
        <v>2139</v>
      </c>
      <c r="E15" s="11" t="s">
        <v>2140</v>
      </c>
      <c r="F15" s="7" t="s">
        <v>27</v>
      </c>
    </row>
    <row r="16" spans="1:6">
      <c r="A16" s="7">
        <v>15</v>
      </c>
      <c r="B16" s="9" t="s">
        <v>2141</v>
      </c>
      <c r="C16" s="8" t="s">
        <v>2142</v>
      </c>
      <c r="D16" s="8" t="s">
        <v>156</v>
      </c>
      <c r="E16" s="11" t="s">
        <v>160</v>
      </c>
      <c r="F16" s="7" t="s">
        <v>27</v>
      </c>
    </row>
    <row r="17" spans="1:6" ht="27">
      <c r="A17" s="7">
        <v>16</v>
      </c>
      <c r="B17" s="9" t="s">
        <v>2143</v>
      </c>
      <c r="C17" s="8" t="s">
        <v>2144</v>
      </c>
      <c r="D17" s="8" t="s">
        <v>2145</v>
      </c>
      <c r="E17" s="11" t="s">
        <v>2146</v>
      </c>
      <c r="F17" s="7" t="s">
        <v>27</v>
      </c>
    </row>
    <row r="18" spans="1:6">
      <c r="A18" s="7">
        <v>17</v>
      </c>
      <c r="B18" s="9" t="s">
        <v>2147</v>
      </c>
      <c r="C18" s="8" t="s">
        <v>2148</v>
      </c>
      <c r="D18" s="8" t="s">
        <v>2149</v>
      </c>
      <c r="E18" s="11" t="s">
        <v>2150</v>
      </c>
      <c r="F18" s="7" t="s">
        <v>27</v>
      </c>
    </row>
    <row r="19" spans="1:6">
      <c r="A19" s="7">
        <v>18</v>
      </c>
      <c r="B19" s="9" t="s">
        <v>2151</v>
      </c>
      <c r="C19" s="8" t="s">
        <v>2152</v>
      </c>
      <c r="D19" s="8" t="s">
        <v>2153</v>
      </c>
      <c r="E19" s="11" t="s">
        <v>2154</v>
      </c>
      <c r="F19" s="7" t="s">
        <v>27</v>
      </c>
    </row>
    <row r="20" spans="1:6">
      <c r="A20" s="7">
        <v>19</v>
      </c>
      <c r="B20" s="9" t="s">
        <v>2155</v>
      </c>
      <c r="C20" s="8" t="s">
        <v>2156</v>
      </c>
      <c r="D20" s="8" t="s">
        <v>2157</v>
      </c>
      <c r="E20" s="11" t="s">
        <v>2158</v>
      </c>
      <c r="F20" s="7" t="s">
        <v>27</v>
      </c>
    </row>
    <row r="21" spans="1:6">
      <c r="A21" s="7">
        <v>20</v>
      </c>
      <c r="B21" s="9" t="s">
        <v>2159</v>
      </c>
      <c r="C21" s="8" t="s">
        <v>2160</v>
      </c>
      <c r="D21" s="8" t="s">
        <v>2161</v>
      </c>
      <c r="E21" s="11" t="s">
        <v>2162</v>
      </c>
      <c r="F21" s="7" t="s">
        <v>379</v>
      </c>
    </row>
  </sheetData>
  <phoneticPr fontId="5" type="noConversion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75"/>
  <cols>
    <col min="1" max="1" width="6" customWidth="1"/>
    <col min="2" max="2" width="28" customWidth="1"/>
    <col min="3" max="3" width="20" customWidth="1"/>
    <col min="4" max="4" width="70" customWidth="1"/>
    <col min="5" max="5" width="44" customWidth="1"/>
  </cols>
  <sheetData>
    <row r="1" spans="1:5" ht="30" customHeight="1">
      <c r="A1" s="1" t="s">
        <v>0</v>
      </c>
      <c r="B1" s="1" t="s">
        <v>2163</v>
      </c>
      <c r="C1" s="1" t="s">
        <v>2164</v>
      </c>
      <c r="D1" s="1" t="s">
        <v>2165</v>
      </c>
      <c r="E1" s="1" t="s">
        <v>2166</v>
      </c>
    </row>
    <row r="2" spans="1:5" ht="27">
      <c r="A2" s="7">
        <v>1</v>
      </c>
      <c r="B2" s="9" t="s">
        <v>2167</v>
      </c>
      <c r="C2" s="8" t="s">
        <v>2168</v>
      </c>
      <c r="D2" s="8" t="s">
        <v>2169</v>
      </c>
      <c r="E2" s="11" t="s">
        <v>1325</v>
      </c>
    </row>
    <row r="3" spans="1:5" ht="27">
      <c r="A3" s="7">
        <v>2</v>
      </c>
      <c r="B3" s="9" t="s">
        <v>2170</v>
      </c>
      <c r="C3" s="8" t="s">
        <v>2171</v>
      </c>
      <c r="D3" s="8" t="s">
        <v>2172</v>
      </c>
      <c r="E3" s="11" t="s">
        <v>25</v>
      </c>
    </row>
    <row r="4" spans="1:5" ht="27">
      <c r="A4" s="7">
        <v>3</v>
      </c>
      <c r="B4" s="9" t="s">
        <v>2173</v>
      </c>
      <c r="C4" s="8" t="s">
        <v>2174</v>
      </c>
      <c r="D4" s="8" t="s">
        <v>2175</v>
      </c>
      <c r="E4" s="11" t="s">
        <v>1463</v>
      </c>
    </row>
    <row r="5" spans="1:5" ht="27">
      <c r="A5" s="7">
        <v>4</v>
      </c>
      <c r="B5" s="9" t="s">
        <v>2176</v>
      </c>
      <c r="C5" s="8" t="s">
        <v>2177</v>
      </c>
      <c r="D5" s="8" t="s">
        <v>2178</v>
      </c>
      <c r="E5" s="11" t="s">
        <v>707</v>
      </c>
    </row>
    <row r="6" spans="1:5" ht="27">
      <c r="A6" s="7">
        <v>5</v>
      </c>
      <c r="B6" s="9" t="s">
        <v>2179</v>
      </c>
      <c r="C6" s="8" t="s">
        <v>2180</v>
      </c>
      <c r="D6" s="8" t="s">
        <v>2181</v>
      </c>
      <c r="E6" s="11" t="s">
        <v>449</v>
      </c>
    </row>
    <row r="7" spans="1:5">
      <c r="A7" s="7">
        <v>6</v>
      </c>
      <c r="B7" s="9" t="s">
        <v>2182</v>
      </c>
      <c r="C7" s="8" t="s">
        <v>2183</v>
      </c>
      <c r="D7" s="8" t="s">
        <v>2184</v>
      </c>
      <c r="E7" s="11" t="s">
        <v>725</v>
      </c>
    </row>
    <row r="8" spans="1:5" ht="27">
      <c r="A8" s="7">
        <v>7</v>
      </c>
      <c r="B8" s="9" t="s">
        <v>2185</v>
      </c>
      <c r="C8" s="8" t="s">
        <v>2186</v>
      </c>
      <c r="D8" s="8" t="s">
        <v>2187</v>
      </c>
      <c r="E8" s="11" t="s">
        <v>1228</v>
      </c>
    </row>
    <row r="9" spans="1:5" ht="27">
      <c r="A9" s="7">
        <v>8</v>
      </c>
      <c r="B9" s="9" t="s">
        <v>2188</v>
      </c>
      <c r="C9" s="8" t="s">
        <v>2189</v>
      </c>
      <c r="D9" s="8" t="s">
        <v>2190</v>
      </c>
      <c r="E9" s="11" t="s">
        <v>2191</v>
      </c>
    </row>
    <row r="10" spans="1:5" ht="27">
      <c r="A10" s="7">
        <v>9</v>
      </c>
      <c r="B10" s="9" t="s">
        <v>2192</v>
      </c>
      <c r="C10" s="8" t="s">
        <v>2193</v>
      </c>
      <c r="D10" s="8" t="s">
        <v>2194</v>
      </c>
      <c r="E10" s="11" t="s">
        <v>1420</v>
      </c>
    </row>
    <row r="11" spans="1:5" ht="27">
      <c r="A11" s="7">
        <v>10</v>
      </c>
      <c r="B11" s="9" t="s">
        <v>2195</v>
      </c>
      <c r="C11" s="8" t="s">
        <v>2196</v>
      </c>
      <c r="D11" s="8" t="s">
        <v>2197</v>
      </c>
      <c r="E11" s="11" t="s">
        <v>638</v>
      </c>
    </row>
    <row r="12" spans="1:5">
      <c r="A12" s="7">
        <v>11</v>
      </c>
      <c r="B12" s="9" t="s">
        <v>2198</v>
      </c>
      <c r="C12" s="8" t="s">
        <v>2199</v>
      </c>
      <c r="D12" s="8" t="s">
        <v>2200</v>
      </c>
      <c r="E12" s="11" t="s">
        <v>453</v>
      </c>
    </row>
    <row r="13" spans="1:5" ht="27">
      <c r="A13" s="7">
        <v>12</v>
      </c>
      <c r="B13" s="9" t="s">
        <v>2201</v>
      </c>
      <c r="C13" s="8" t="s">
        <v>2202</v>
      </c>
      <c r="D13" s="8" t="s">
        <v>2203</v>
      </c>
      <c r="E13" s="11" t="s">
        <v>832</v>
      </c>
    </row>
    <row r="14" spans="1:5">
      <c r="A14" s="7">
        <v>13</v>
      </c>
      <c r="B14" s="9" t="s">
        <v>2204</v>
      </c>
      <c r="C14" s="8" t="s">
        <v>2205</v>
      </c>
      <c r="D14" s="8" t="s">
        <v>2206</v>
      </c>
      <c r="E14" s="11" t="s">
        <v>1156</v>
      </c>
    </row>
    <row r="15" spans="1:5">
      <c r="A15" s="7">
        <v>14</v>
      </c>
      <c r="B15" s="9" t="s">
        <v>2207</v>
      </c>
      <c r="C15" s="8" t="s">
        <v>2208</v>
      </c>
      <c r="D15" s="8" t="s">
        <v>2209</v>
      </c>
      <c r="E15" s="11" t="s">
        <v>1190</v>
      </c>
    </row>
    <row r="16" spans="1:5" ht="27">
      <c r="A16" s="7">
        <v>15</v>
      </c>
      <c r="B16" s="9" t="s">
        <v>2210</v>
      </c>
      <c r="C16" s="8" t="s">
        <v>2211</v>
      </c>
      <c r="D16" s="8" t="s">
        <v>2212</v>
      </c>
      <c r="E16" s="11" t="s">
        <v>487</v>
      </c>
    </row>
    <row r="17" spans="1:5" ht="27">
      <c r="A17" s="7">
        <v>16</v>
      </c>
      <c r="B17" s="9" t="s">
        <v>2213</v>
      </c>
      <c r="C17" s="8" t="s">
        <v>2214</v>
      </c>
      <c r="D17" s="8" t="s">
        <v>2215</v>
      </c>
      <c r="E17" s="11" t="s">
        <v>857</v>
      </c>
    </row>
    <row r="18" spans="1:5" ht="27">
      <c r="A18" s="7">
        <v>17</v>
      </c>
      <c r="B18" s="9" t="s">
        <v>2216</v>
      </c>
      <c r="C18" s="8" t="s">
        <v>2217</v>
      </c>
      <c r="D18" s="8" t="s">
        <v>2218</v>
      </c>
      <c r="E18" s="11" t="s">
        <v>1338</v>
      </c>
    </row>
    <row r="19" spans="1:5" ht="27">
      <c r="A19" s="7">
        <v>18</v>
      </c>
      <c r="B19" s="9" t="s">
        <v>2219</v>
      </c>
      <c r="C19" s="8" t="s">
        <v>2220</v>
      </c>
      <c r="D19" s="8" t="s">
        <v>2221</v>
      </c>
      <c r="E19" s="11" t="s">
        <v>1659</v>
      </c>
    </row>
    <row r="20" spans="1:5" ht="27">
      <c r="A20" s="7">
        <v>19</v>
      </c>
      <c r="B20" s="9" t="s">
        <v>2222</v>
      </c>
      <c r="C20" s="8" t="s">
        <v>2223</v>
      </c>
      <c r="D20" s="8" t="s">
        <v>2224</v>
      </c>
      <c r="E20" s="11" t="s">
        <v>64</v>
      </c>
    </row>
    <row r="21" spans="1:5" ht="27">
      <c r="A21" s="7">
        <v>20</v>
      </c>
      <c r="B21" s="9" t="s">
        <v>2225</v>
      </c>
      <c r="C21" s="8" t="s">
        <v>2226</v>
      </c>
      <c r="D21" s="8" t="s">
        <v>2227</v>
      </c>
      <c r="E21" s="11" t="s">
        <v>287</v>
      </c>
    </row>
    <row r="22" spans="1:5" ht="27">
      <c r="A22" s="7">
        <v>21</v>
      </c>
      <c r="B22" s="9" t="s">
        <v>2228</v>
      </c>
      <c r="C22" s="8" t="s">
        <v>2229</v>
      </c>
      <c r="D22" s="8" t="s">
        <v>2230</v>
      </c>
      <c r="E22" s="11" t="s">
        <v>657</v>
      </c>
    </row>
    <row r="23" spans="1:5" ht="27">
      <c r="A23" s="7">
        <v>22</v>
      </c>
      <c r="B23" s="9" t="s">
        <v>2231</v>
      </c>
      <c r="C23" s="8" t="s">
        <v>2232</v>
      </c>
      <c r="D23" s="8" t="s">
        <v>2233</v>
      </c>
      <c r="E23" s="11" t="s">
        <v>1440</v>
      </c>
    </row>
  </sheetData>
  <phoneticPr fontId="5" type="noConversion"/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5.75"/>
  <cols>
    <col min="1" max="1" width="22" customWidth="1"/>
    <col min="2" max="2" width="100" customWidth="1"/>
  </cols>
  <sheetData>
    <row r="1" spans="1:2" ht="30" customHeight="1">
      <c r="A1" s="1" t="s">
        <v>2234</v>
      </c>
      <c r="B1" s="1" t="s">
        <v>2084</v>
      </c>
    </row>
    <row r="2" spans="1:2">
      <c r="A2" s="9" t="s">
        <v>2235</v>
      </c>
      <c r="B2" s="8" t="s">
        <v>2236</v>
      </c>
    </row>
    <row r="3" spans="1:2" ht="27">
      <c r="A3" s="9" t="s">
        <v>2237</v>
      </c>
      <c r="B3" s="8" t="s">
        <v>2238</v>
      </c>
    </row>
    <row r="4" spans="1:2">
      <c r="A4" s="9" t="s">
        <v>5</v>
      </c>
      <c r="B4" s="8" t="s">
        <v>2239</v>
      </c>
    </row>
    <row r="5" spans="1:2" ht="27">
      <c r="A5" s="9" t="s">
        <v>6</v>
      </c>
      <c r="B5" s="8" t="s">
        <v>2240</v>
      </c>
    </row>
    <row r="6" spans="1:2" ht="27">
      <c r="A6" s="9" t="s">
        <v>8</v>
      </c>
      <c r="B6" s="8" t="s">
        <v>2241</v>
      </c>
    </row>
    <row r="7" spans="1:2">
      <c r="A7" s="9" t="s">
        <v>2242</v>
      </c>
      <c r="B7" s="8" t="s">
        <v>2243</v>
      </c>
    </row>
    <row r="8" spans="1:2" ht="40.5">
      <c r="A8" s="9" t="s">
        <v>14</v>
      </c>
      <c r="B8" s="8" t="s">
        <v>2244</v>
      </c>
    </row>
    <row r="9" spans="1:2" ht="27">
      <c r="A9" s="9" t="s">
        <v>2245</v>
      </c>
      <c r="B9" s="8" t="s">
        <v>2246</v>
      </c>
    </row>
    <row r="10" spans="1:2">
      <c r="A10" s="9" t="s">
        <v>2247</v>
      </c>
      <c r="B10" s="8" t="s">
        <v>2248</v>
      </c>
    </row>
    <row r="11" spans="1:2">
      <c r="A11" s="9" t="s">
        <v>2249</v>
      </c>
      <c r="B11" s="8" t="s">
        <v>2250</v>
      </c>
    </row>
    <row r="12" spans="1:2">
      <c r="A12" s="9" t="s">
        <v>2251</v>
      </c>
      <c r="B12" s="8" t="s">
        <v>2252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JS工具總表</vt:lpstr>
      <vt:lpstr>分類統計</vt:lpstr>
      <vt:lpstr>範例靈感平台</vt:lpstr>
      <vt:lpstr>組合配方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政文 黃</cp:lastModifiedBy>
  <dcterms:created xsi:type="dcterms:W3CDTF">2026-09-30T17:59:36Z</dcterms:created>
  <dcterms:modified xsi:type="dcterms:W3CDTF">2026-10-02T15:58:34Z</dcterms:modified>
</cp:coreProperties>
</file>